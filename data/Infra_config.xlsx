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tables/table12.xml" ContentType="application/vnd.openxmlformats-officedocument.spreadsheetml.table+xml"/>
  <Override PartName="/xl/queryTables/queryTable1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Cuoc_Song_Cua_Toi\0_TEMPLATE\infrastructure_automation\TEMPLATE\Temmplate_Import _ChungCu_NA_V1\"/>
    </mc:Choice>
  </mc:AlternateContent>
  <xr:revisionPtr revIDLastSave="0" documentId="13_ncr:1_{9014C442-41FF-48D1-985B-D4E15EBF4BD4}" xr6:coauthVersionLast="47" xr6:coauthVersionMax="47" xr10:uidLastSave="{00000000-0000-0000-0000-000000000000}"/>
  <bookViews>
    <workbookView xWindow="28680" yWindow="-120" windowWidth="29040" windowHeight="17520" tabRatio="841" firstSheet="1" activeTab="11" xr2:uid="{00000000-000D-0000-FFFF-FFFF00000000}"/>
  </bookViews>
  <sheets>
    <sheet name="tbl_sites" sheetId="3" r:id="rId1"/>
    <sheet name="tbl_locations" sheetId="22" r:id="rId2"/>
    <sheet name="tbl_racks" sheetId="23" r:id="rId3"/>
    <sheet name="tbl_vlan" sheetId="6" r:id="rId4"/>
    <sheet name="tbl_prefixes" sheetId="19" r:id="rId5"/>
    <sheet name="tbl_device-roles" sheetId="10" r:id="rId6"/>
    <sheet name="tbl_manufacturers" sheetId="9" r:id="rId7"/>
    <sheet name="tbl_device-types" sheetId="20" r:id="rId8"/>
    <sheet name="tbl_devices" sheetId="11" r:id="rId9"/>
    <sheet name="tbl_interfaces" sheetId="12" r:id="rId10"/>
    <sheet name="tbl_IP-addresses" sheetId="13" r:id="rId11"/>
    <sheet name="tbl_netbox-cables" sheetId="15" r:id="rId12"/>
  </sheets>
  <definedNames>
    <definedName name="ExternalData_1" localSheetId="4" hidden="1">tbl_prefixes!$A$1:$C$5</definedName>
    <definedName name="ExternalData_1" localSheetId="2" hidden="1">tbl_racks!$A$1:$F$9</definedName>
    <definedName name="ExternalData_10" localSheetId="11" hidden="1">'tbl_netbox-cables'!$A$1:$H$19</definedName>
    <definedName name="ExternalData_2" localSheetId="0" hidden="1">tbl_sites!$A$1:$F$2</definedName>
    <definedName name="ExternalData_3" localSheetId="1" hidden="1">tbl_locations!$A$1:$D$2</definedName>
    <definedName name="ExternalData_5" localSheetId="6" hidden="1">tbl_manufacturers!$A$1:$C$2</definedName>
    <definedName name="ExternalData_6" localSheetId="5" hidden="1">'tbl_device-roles'!$A$1:$C$3</definedName>
    <definedName name="ExternalData_7" localSheetId="8" hidden="1">tbl_devices!$A$1:$G$11</definedName>
    <definedName name="ExternalData_8" localSheetId="7" hidden="1">'tbl_device-types'!$A$1:$D$2</definedName>
    <definedName name="ExternalData_8" localSheetId="9" hidden="1">tbl_interfaces!$A$1:$I$180</definedName>
    <definedName name="ExternalData_9" localSheetId="10" hidden="1">'tbl_IP-addresses'!$A$1:$E$21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4" i="15" l="1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3" i="15"/>
  <c r="H2" i="15"/>
  <c r="E4" i="15"/>
  <c r="E19" i="15"/>
  <c r="E18" i="15"/>
  <c r="E17" i="15"/>
  <c r="E16" i="15"/>
  <c r="E13" i="15"/>
  <c r="E12" i="15"/>
  <c r="E11" i="15"/>
  <c r="E14" i="15"/>
  <c r="E15" i="15"/>
  <c r="E10" i="15"/>
  <c r="E9" i="15"/>
  <c r="E8" i="15"/>
  <c r="E7" i="15"/>
  <c r="E6" i="15"/>
  <c r="E5" i="15"/>
  <c r="E2" i="15"/>
  <c r="E3" i="15"/>
  <c r="B17" i="15"/>
  <c r="B16" i="15"/>
  <c r="A5" i="11"/>
  <c r="B19" i="15"/>
  <c r="B18" i="15"/>
  <c r="B15" i="15"/>
  <c r="B14" i="15"/>
  <c r="B13" i="15"/>
  <c r="B12" i="15"/>
  <c r="B11" i="15"/>
  <c r="B10" i="15"/>
  <c r="B9" i="15"/>
  <c r="B8" i="15"/>
  <c r="B7" i="15"/>
  <c r="B6" i="15"/>
  <c r="B5" i="15"/>
  <c r="B4" i="15"/>
  <c r="B2" i="15"/>
  <c r="B3" i="15"/>
  <c r="D21" i="13"/>
  <c r="D13" i="13"/>
  <c r="D14" i="13"/>
  <c r="D15" i="13"/>
  <c r="D16" i="13"/>
  <c r="D17" i="13"/>
  <c r="D18" i="13"/>
  <c r="D19" i="13"/>
  <c r="D20" i="13"/>
  <c r="D12" i="13"/>
  <c r="D2" i="13"/>
  <c r="D3" i="13"/>
  <c r="D4" i="13"/>
  <c r="D5" i="13"/>
  <c r="D6" i="13"/>
  <c r="D7" i="13"/>
  <c r="D8" i="13"/>
  <c r="D9" i="13"/>
  <c r="D10" i="13"/>
  <c r="D11" i="13"/>
  <c r="B180" i="12"/>
  <c r="B179" i="12"/>
  <c r="B178" i="12"/>
  <c r="B177" i="12"/>
  <c r="B176" i="12"/>
  <c r="B175" i="12"/>
  <c r="B174" i="12"/>
  <c r="B173" i="12"/>
  <c r="B172" i="12"/>
  <c r="B171" i="12"/>
  <c r="B170" i="12"/>
  <c r="B169" i="12"/>
  <c r="B168" i="12"/>
  <c r="B167" i="12"/>
  <c r="B166" i="12"/>
  <c r="B165" i="12"/>
  <c r="B164" i="12"/>
  <c r="B163" i="12"/>
  <c r="B162" i="12"/>
  <c r="B161" i="12"/>
  <c r="B160" i="12"/>
  <c r="B159" i="12"/>
  <c r="B158" i="12"/>
  <c r="B157" i="12"/>
  <c r="B156" i="12"/>
  <c r="B155" i="12"/>
  <c r="B154" i="12"/>
  <c r="B153" i="12"/>
  <c r="B152" i="12"/>
  <c r="B151" i="12"/>
  <c r="B150" i="12"/>
  <c r="B149" i="12"/>
  <c r="B148" i="12"/>
  <c r="B147" i="12"/>
  <c r="B146" i="12"/>
  <c r="B145" i="12"/>
  <c r="B144" i="12"/>
  <c r="B143" i="12"/>
  <c r="B142" i="12"/>
  <c r="B141" i="12"/>
  <c r="B140" i="12"/>
  <c r="B139" i="12"/>
  <c r="B138" i="12"/>
  <c r="B137" i="12"/>
  <c r="B136" i="12"/>
  <c r="B135" i="12"/>
  <c r="B134" i="12"/>
  <c r="B133" i="12"/>
  <c r="B132" i="12"/>
  <c r="B131" i="12"/>
  <c r="B130" i="12"/>
  <c r="B129" i="12"/>
  <c r="B128" i="12"/>
  <c r="A10" i="11"/>
  <c r="B127" i="12"/>
  <c r="B126" i="12"/>
  <c r="B125" i="12"/>
  <c r="B124" i="12"/>
  <c r="B123" i="12"/>
  <c r="B122" i="12"/>
  <c r="B121" i="12"/>
  <c r="B120" i="12"/>
  <c r="B119" i="12"/>
  <c r="B118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A7" i="11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A4" i="11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A3" i="11"/>
  <c r="B2" i="12" s="1"/>
  <c r="A6" i="11"/>
  <c r="A8" i="11"/>
  <c r="A9" i="11"/>
  <c r="A11" i="11"/>
  <c r="A2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Query - 01_regions" description="Connection to the '01_regions' query in the workbook." type="5" refreshedVersion="2" background="1" saveData="1">
    <dbPr connection="Provider=Microsoft.Mashup.OleDb.1;Data Source=$Workbook$;Location=01_regions;Extended Properties=&quot;&quot;" command="SELECT * FROM [01_regions]"/>
  </connection>
  <connection id="2" xr16:uid="{00000000-0015-0000-FFFF-FFFF01000000}" name="Query - 02_sites" description="Connection to the '02_sites' query in the workbook." type="5" refreshedVersion="7" background="1" saveData="1">
    <dbPr connection="Provider=Microsoft.Mashup.OleDb.1;Data Source=$Workbook$;Location=02_sites;Extended Properties=&quot;&quot;" command="SELECT * FROM [02_sites]"/>
  </connection>
  <connection id="3" xr16:uid="{00000000-0015-0000-FFFF-FFFF02000000}" name="Query - 02_VLANs" description="Connection to the '02_VLANs' query in the workbook." type="5" refreshedVersion="2" background="1" saveData="1">
    <dbPr connection="Provider=Microsoft.Mashup.OleDb.1;Data Source=$Workbook$;Location=02_VLANs;Extended Properties=&quot;&quot;" command="SELECT * FROM [02_VLANs]"/>
  </connection>
  <connection id="4" xr16:uid="{00000000-0015-0000-FFFF-FFFF03000000}" name="Query - 02_VLANs (2)" description="Connection to the '02_VLANs (2)' query in the workbook." type="5" refreshedVersion="2" background="1" saveData="1">
    <dbPr connection="Provider=Microsoft.Mashup.OleDb.1;Data Source=$Workbook$;Location=&quot;02_VLANs (2)&quot;;Extended Properties=&quot;&quot;" command="SELECT * FROM [02_VLANs (2)]"/>
  </connection>
  <connection id="5" xr16:uid="{00000000-0015-0000-FFFF-FFFF04000000}" name="Query - 03_prefixes" description="Connection to the '03_prefixes' query in the workbook." type="5" refreshedVersion="2" background="1" saveData="1">
    <dbPr connection="Provider=Microsoft.Mashup.OleDb.1;Data Source=$Workbook$;Location=03_prefixes;Extended Properties=&quot;&quot;" command="SELECT * FROM [03_prefixes]"/>
  </connection>
  <connection id="6" xr16:uid="{00000000-0015-0000-FFFF-FFFF05000000}" name="Query - 03_prefixes (2)" description="Connection to the '03_prefixes (2)' query in the workbook." type="5" refreshedVersion="2" background="1" saveData="1">
    <dbPr connection="Provider=Microsoft.Mashup.OleDb.1;Data Source=$Workbook$;Location=&quot;03_prefixes (2)&quot;;Extended Properties=&quot;&quot;" command="SELECT * FROM [03_prefixes (2)]"/>
  </connection>
  <connection id="7" xr16:uid="{00000000-0015-0000-FFFF-FFFF06000000}" name="Query - 04_manufacturers" description="Connection to the '04_manufacturers' query in the workbook." type="5" refreshedVersion="7" background="1" saveData="1">
    <dbPr connection="Provider=Microsoft.Mashup.OleDb.1;Data Source=$Workbook$;Location=04_manufacturers;Extended Properties=&quot;&quot;" command="SELECT * FROM [04_manufacturers]"/>
  </connection>
  <connection id="8" xr16:uid="{00000000-0015-0000-FFFF-FFFF07000000}" name="Query - 05_device_types" description="Connection to the '05_device_types' query in the workbook." type="5" refreshedVersion="7" background="1" saveData="1">
    <dbPr connection="Provider=Microsoft.Mashup.OleDb.1;Data Source=$Workbook$;Location=05_device_types;Extended Properties=&quot;&quot;" command="SELECT * FROM [05_device_types]"/>
  </connection>
  <connection id="9" xr16:uid="{00000000-0015-0000-FFFF-FFFF08000000}" name="Query - 06_device roles" description="Connection to the '06_device roles' query in the workbook." type="5" refreshedVersion="7" background="1" saveData="1">
    <dbPr connection="Provider=Microsoft.Mashup.OleDb.1;Data Source=$Workbook$;Location=&quot;06_device roles&quot;;Extended Properties=&quot;&quot;" command="SELECT * FROM [06_device roles]"/>
  </connection>
  <connection id="10" xr16:uid="{00000000-0015-0000-FFFF-FFFF09000000}" name="Query - 07_devices" description="Connection to the '07_devices' query in the workbook." type="5" refreshedVersion="7" background="1" saveData="1">
    <dbPr connection="Provider=Microsoft.Mashup.OleDb.1;Data Source=$Workbook$;Location=07_devices;Extended Properties=&quot;&quot;" command="SELECT * FROM [07_devices]"/>
  </connection>
  <connection id="11" xr16:uid="{00000000-0015-0000-FFFF-FFFF0A000000}" name="Query - 08_interfaces" description="Connection to the '08_interfaces' query in the workbook." type="5" refreshedVersion="7" background="1" saveData="1">
    <dbPr connection="Provider=Microsoft.Mashup.OleDb.1;Data Source=$Workbook$;Location=08_interfaces;Extended Properties=&quot;&quot;" command="SELECT * FROM [08_interfaces]"/>
  </connection>
  <connection id="12" xr16:uid="{00000000-0015-0000-FFFF-FFFF0B000000}" name="Query - 09_IP addresses" description="Connection to the '09_IP addresses' query in the workbook." type="5" refreshedVersion="7" background="1" saveData="1">
    <dbPr connection="Provider=Microsoft.Mashup.OleDb.1;Data Source=$Workbook$;Location=&quot;09_IP addresses&quot;;Extended Properties=&quot;&quot;" command="SELECT * FROM [09_IP addresses]"/>
  </connection>
  <connection id="13" xr16:uid="{00000000-0015-0000-FFFF-FFFF0C000000}" name="Query - 10_netbox_cables" description="Connection to the '10_netbox_cables' query in the workbook." type="5" refreshedVersion="2" background="1" saveData="1">
    <dbPr connection="Provider=Microsoft.Mashup.OleDb.1;Data Source=$Workbook$;Location=10_netbox_cables;Extended Properties=&quot;&quot;" command="SELECT * FROM [10_netbox_cables]"/>
  </connection>
  <connection id="14" xr16:uid="{00000000-0015-0000-FFFF-FFFF0D000000}" name="Query - 10_netbox_cables (2)" description="Connection to the '10_netbox_cables (2)' query in the workbook." type="5" refreshedVersion="7" background="1" saveData="1">
    <dbPr connection="Provider=Microsoft.Mashup.OleDb.1;Data Source=$Workbook$;Location=&quot;10_netbox_cables (2)&quot;;Extended Properties=&quot;&quot;" command="SELECT * FROM [10_netbox_cables (2)]"/>
  </connection>
  <connection id="15" xr16:uid="{00000000-0015-0000-FFFF-FFFF0E000000}" name="Query - netbox_locations (1)" description="Connection to the 'netbox_locations (1)' query in the workbook." type="5" refreshedVersion="7" background="1" saveData="1">
    <dbPr connection="Provider=Microsoft.Mashup.OleDb.1;Data Source=$Workbook$;Location=&quot;netbox_locations (1)&quot;;Extended Properties=&quot;&quot;" command="SELECT * FROM [netbox_locations (1)]"/>
  </connection>
  <connection id="16" xr16:uid="{00000000-0015-0000-FFFF-FFFF0F000000}" name="Query - netbox_racks" description="Connection to the 'netbox_racks' query in the workbook." type="5" refreshedVersion="7" background="1" saveData="1">
    <dbPr connection="Provider=Microsoft.Mashup.OleDb.1;Data Source=$Workbook$;Location=netbox_racks;Extended Properties=&quot;&quot;" command="SELECT * FROM [netbox_racks]"/>
  </connection>
  <connection id="17" xr16:uid="{00000000-0015-0000-FFFF-FFFF10000000}" name="Query - tbl_vlan" description="Connection to the 'tbl_vlan' query in the workbook." type="5" refreshedVersion="2" background="1" saveData="1">
    <dbPr connection="Provider=Microsoft.Mashup.OleDb.1;Data Source=$Workbook$;Location=tbl_vlan;Extended Properties=&quot;&quot;" command="SELECT * FROM [tbl_vlan]"/>
  </connection>
  <connection id="18" xr16:uid="{00000000-0015-0000-FFFF-FFFF11000000}" name="Query - tbl_vlan (2)" description="Connection to the 'tbl_vlan (2)' query in the workbook." type="5" refreshedVersion="2" background="1" saveData="1">
    <dbPr connection="Provider=Microsoft.Mashup.OleDb.1;Data Source=$Workbook$;Location=&quot;tbl_vlan (2)&quot;;Extended Properties=&quot;&quot;" command="SELECT * FROM [tbl_vlan (2)]"/>
  </connection>
  <connection id="19" xr16:uid="{00000000-0015-0000-FFFF-FFFF12000000}" name="Query - tbl_vlan (3)" description="Connection to the 'tbl_vlan (3)' query in the workbook." type="5" refreshedVersion="2" background="1" saveData="1">
    <dbPr connection="Provider=Microsoft.Mashup.OleDb.1;Data Source=$Workbook$;Location=&quot;tbl_vlan (3)&quot;;Extended Properties=&quot;&quot;" command="SELECT * FROM [tbl_vlan (3)]"/>
  </connection>
  <connection id="20" xr16:uid="{00000000-0015-0000-FFFF-FFFF13000000}" name="Query - tbl_vlan (4)" description="Connection to the 'tbl_vlan (4)' query in the workbook." type="5" refreshedVersion="7" background="1" saveData="1">
    <dbPr connection="Provider=Microsoft.Mashup.OleDb.1;Data Source=$Workbook$;Location=&quot;tbl_vlan (4)&quot;;Extended Properties=&quot;&quot;" command="SELECT * FROM [tbl_vlan (4)]"/>
  </connection>
</connections>
</file>

<file path=xl/sharedStrings.xml><?xml version="1.0" encoding="utf-8"?>
<sst xmlns="http://schemas.openxmlformats.org/spreadsheetml/2006/main" count="1299" uniqueCount="128">
  <si>
    <t>name</t>
  </si>
  <si>
    <t>description</t>
  </si>
  <si>
    <t>slug</t>
  </si>
  <si>
    <t>time_zone</t>
  </si>
  <si>
    <t>status</t>
  </si>
  <si>
    <t>Du an xay dung ha tang CTTV cho khu chung cu tai nghe an</t>
  </si>
  <si>
    <t>lab-hanoi</t>
  </si>
  <si>
    <t>Etc/GMT+7</t>
  </si>
  <si>
    <t>active</t>
  </si>
  <si>
    <t>site</t>
  </si>
  <si>
    <t>Toa_A1</t>
  </si>
  <si>
    <t>toa-a1</t>
  </si>
  <si>
    <t>location</t>
  </si>
  <si>
    <t>u_height</t>
  </si>
  <si>
    <t>width</t>
  </si>
  <si>
    <t>HH1-RACK-B1</t>
  </si>
  <si>
    <t>vid</t>
  </si>
  <si>
    <t>SETUP</t>
  </si>
  <si>
    <t>Setup_HeThong</t>
  </si>
  <si>
    <t>MGMT</t>
  </si>
  <si>
    <t>Quan tri thiet bi mang</t>
  </si>
  <si>
    <t>CAMERAS</t>
  </si>
  <si>
    <t>He thong cam hanh lang</t>
  </si>
  <si>
    <t>WiFi</t>
  </si>
  <si>
    <t>Wifi nội bộ</t>
  </si>
  <si>
    <t>prefix</t>
  </si>
  <si>
    <t>vlan</t>
  </si>
  <si>
    <t>10.0.20.0/24</t>
  </si>
  <si>
    <t>10.0.10.0/24</t>
  </si>
  <si>
    <t>10.0.1.0/24</t>
  </si>
  <si>
    <t>10.0.30.0/24</t>
  </si>
  <si>
    <t>Cisco</t>
  </si>
  <si>
    <t>Nha phan phoi cisco</t>
  </si>
  <si>
    <t>cisco</t>
  </si>
  <si>
    <t>TEST_C1</t>
  </si>
  <si>
    <t>color</t>
  </si>
  <si>
    <t>ACC_SW</t>
  </si>
  <si>
    <t>9e9e9e</t>
  </si>
  <si>
    <t>acc_sw</t>
  </si>
  <si>
    <t>CORE_SW</t>
  </si>
  <si>
    <t>core_sw</t>
  </si>
  <si>
    <t>device_type</t>
  </si>
  <si>
    <t>role</t>
  </si>
  <si>
    <t>manufacturer</t>
  </si>
  <si>
    <t>cf_device_number</t>
  </si>
  <si>
    <t>rack</t>
  </si>
  <si>
    <t>CHUNGCU</t>
  </si>
  <si>
    <t>device</t>
  </si>
  <si>
    <t>enabled</t>
  </si>
  <si>
    <t>type</t>
  </si>
  <si>
    <t>mode</t>
  </si>
  <si>
    <t>untagged_vlan</t>
  </si>
  <si>
    <t>tagged_vlans</t>
  </si>
  <si>
    <t>cf_port_role</t>
  </si>
  <si>
    <t>Et0/0</t>
  </si>
  <si>
    <t>100base-tx</t>
  </si>
  <si>
    <t>Uplink to Distribution/Core Switch</t>
  </si>
  <si>
    <t>tagged</t>
  </si>
  <si>
    <t>Et0/1</t>
  </si>
  <si>
    <t>UPLINK</t>
  </si>
  <si>
    <t>Et0/2</t>
  </si>
  <si>
    <t>CCTV Camera</t>
  </si>
  <si>
    <t>access</t>
  </si>
  <si>
    <t>CAMERA</t>
  </si>
  <si>
    <t>Et0/3</t>
  </si>
  <si>
    <t>Et1/0</t>
  </si>
  <si>
    <t>Et1/1</t>
  </si>
  <si>
    <t>Et1/2</t>
  </si>
  <si>
    <t>Et1/3</t>
  </si>
  <si>
    <t>Et2/0</t>
  </si>
  <si>
    <t>Et2/1</t>
  </si>
  <si>
    <t>Et2/2</t>
  </si>
  <si>
    <t>Et2/3</t>
  </si>
  <si>
    <t>Et3/0</t>
  </si>
  <si>
    <t>Et3/1</t>
  </si>
  <si>
    <t>Et3/2</t>
  </si>
  <si>
    <t>Et3/3</t>
  </si>
  <si>
    <t>VLAN10</t>
  </si>
  <si>
    <t>virtual</t>
  </si>
  <si>
    <t/>
  </si>
  <si>
    <t>VLAN1</t>
  </si>
  <si>
    <t>Downlink to Distribution/Core Switch</t>
  </si>
  <si>
    <t>Downlink to Sw-acc</t>
  </si>
  <si>
    <t>address</t>
  </si>
  <si>
    <t>interface</t>
  </si>
  <si>
    <t>is_primary</t>
  </si>
  <si>
    <t>192.168.80.10/24</t>
  </si>
  <si>
    <t>192.168.80.11/24</t>
  </si>
  <si>
    <t>192.168.80.12/24</t>
  </si>
  <si>
    <t>192.168.80.13/24</t>
  </si>
  <si>
    <t>192.168.80.14/24</t>
  </si>
  <si>
    <t>192.168.80.15/24</t>
  </si>
  <si>
    <t>192.168.80.16/24</t>
  </si>
  <si>
    <t>192.168.80.17/24</t>
  </si>
  <si>
    <t>192.168.80.18/24</t>
  </si>
  <si>
    <t>192.168.80.19/24</t>
  </si>
  <si>
    <t>side_a_type</t>
  </si>
  <si>
    <t>side_a_device</t>
  </si>
  <si>
    <t>side_a_name</t>
  </si>
  <si>
    <t>side_b_type</t>
  </si>
  <si>
    <t>side_b_device</t>
  </si>
  <si>
    <t>side_b_name</t>
  </si>
  <si>
    <t>dcim.interface</t>
  </si>
  <si>
    <t>connected</t>
  </si>
  <si>
    <t>region</t>
  </si>
  <si>
    <t>NGHE-AN</t>
  </si>
  <si>
    <t xml:space="preserve">RACK-CA-H-1 </t>
  </si>
  <si>
    <t>RACK-CA-H-2</t>
  </si>
  <si>
    <t>HH1-RACK-T5</t>
  </si>
  <si>
    <t>HH1-RACK-T10</t>
  </si>
  <si>
    <t>HH1-RACK-T15</t>
  </si>
  <si>
    <t>HH1-RACK-T19</t>
  </si>
  <si>
    <t>CCTV-MRACK</t>
  </si>
  <si>
    <t>model</t>
  </si>
  <si>
    <t>RACK-CA-H-1</t>
  </si>
  <si>
    <t>01</t>
  </si>
  <si>
    <t>02</t>
  </si>
  <si>
    <t>10.0.5.10/24</t>
  </si>
  <si>
    <t>10.0.5.11/24</t>
  </si>
  <si>
    <t>10.0.5.12/24</t>
  </si>
  <si>
    <t>10.0.5.13/24</t>
  </si>
  <si>
    <t>10.0.5.14/24</t>
  </si>
  <si>
    <t>10.0.5.15/24</t>
  </si>
  <si>
    <t>10.0.5.16/24</t>
  </si>
  <si>
    <t>10.0.5.17/24</t>
  </si>
  <si>
    <t>10.0.5.18/24</t>
  </si>
  <si>
    <t>10.0.5.19/24</t>
  </si>
  <si>
    <t>1,10,20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</si>
</sst>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charset val="134"/>
      <scheme val="minor"/>
    </font>
    <font>
      <sz val="11"/>
      <color theme="0"/>
      <name val="Calibri"/>
      <family val="2"/>
      <scheme val="minor"/>
    </font>
    <font>
      <sz val="8"/>
      <name val="Calibri"/>
      <charset val="134"/>
      <scheme val="minor"/>
    </font>
    <font>
      <sz val="11"/>
      <color theme="1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5117038483843"/>
        <bgColor theme="9" tint="0.79995117038483843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9" tint="0.39994506668294322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NumberFormat="1"/>
    <xf numFmtId="0" fontId="0" fillId="0" borderId="1" xfId="0" applyNumberFormat="1" applyBorder="1"/>
    <xf numFmtId="0" fontId="0" fillId="0" borderId="1" xfId="0" applyBorder="1"/>
    <xf numFmtId="0" fontId="0" fillId="0" borderId="0" xfId="0" applyAlignment="1">
      <alignment horizontal="left" vertical="top"/>
    </xf>
    <xf numFmtId="0" fontId="2" fillId="2" borderId="0" xfId="0" applyFont="1" applyFill="1" applyBorder="1" applyAlignment="1">
      <alignment horizontal="left" vertical="center"/>
    </xf>
    <xf numFmtId="0" fontId="0" fillId="3" borderId="2" xfId="0" applyFont="1" applyFill="1" applyBorder="1" applyAlignment="1">
      <alignment horizontal="left" vertical="center"/>
    </xf>
    <xf numFmtId="0" fontId="0" fillId="3" borderId="2" xfId="0" applyNumberFormat="1" applyFont="1" applyFill="1" applyBorder="1" applyAlignment="1">
      <alignment horizontal="left" vertical="center"/>
    </xf>
    <xf numFmtId="0" fontId="0" fillId="0" borderId="2" xfId="0" applyFont="1" applyBorder="1" applyAlignment="1">
      <alignment horizontal="left" vertical="center"/>
    </xf>
    <xf numFmtId="0" fontId="0" fillId="0" borderId="2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quotePrefix="1" applyNumberFormat="1"/>
    <xf numFmtId="0" fontId="1" fillId="0" borderId="0" xfId="0" applyNumberFormat="1" applyFont="1"/>
    <xf numFmtId="0" fontId="3" fillId="0" borderId="0" xfId="0" applyNumberFormat="1" applyFon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NumberFormat="1" applyFont="1" applyAlignment="1">
      <alignment horizontal="center"/>
    </xf>
    <xf numFmtId="0" fontId="0" fillId="4" borderId="3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73">
    <dxf>
      <numFmt numFmtId="0" formatCode="General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0" formatCode="General"/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center"/>
    </dxf>
    <dxf>
      <alignment horizontal="left" vertical="center"/>
    </dxf>
    <dxf>
      <alignment horizontal="left" vertical="center"/>
    </dxf>
    <dxf>
      <alignment horizontal="left" vertic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0000000-0016-0000-0000-000000000000}" autoFormatId="16" applyNumberFormats="0" applyBorderFormats="0" applyFontFormats="1" applyPatternFormats="1" applyAlignmentFormats="0" applyWidthHeightFormats="0">
  <queryTableRefresh nextId="8">
    <queryTableFields count="6">
      <queryTableField id="1" name="Column1" tableColumnId="1"/>
      <queryTableField id="6" name="Column2" tableColumnId="2"/>
      <queryTableField id="2" name="Column3" tableColumnId="3"/>
      <queryTableField id="3" name="Column4" tableColumnId="4"/>
      <queryTableField id="4" name="Column5" tableColumnId="5"/>
      <queryTableField id="5" name="Column6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00000000-0016-0000-0100-000001000000}" autoFormatId="16" applyNumberFormats="0" applyBorderFormats="0" applyFontFormats="1" applyPatternFormats="1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6" xr16:uid="{00000000-0016-0000-0200-000002000000}" autoFormatId="16" applyNumberFormats="0" applyBorderFormats="0" applyFontFormats="1" applyPatternFormats="1" applyAlignmentFormats="0" applyWidthHeightFormats="0">
  <queryTableRefresh nextId="7">
    <queryTableFields count="6">
      <queryTableField id="1" name="name" tableColumnId="1"/>
      <queryTableField id="2" name="site" tableColumnId="2"/>
      <queryTableField id="3" name="location" tableColumnId="3"/>
      <queryTableField id="4" name="status" tableColumnId="4"/>
      <queryTableField id="5" name="u_height" tableColumnId="5"/>
      <queryTableField id="6" name="width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0" xr16:uid="{00000000-0016-0000-0400-000003000000}" autoFormatId="16" applyNumberFormats="0" applyBorderFormats="0" applyFontFormats="1" applyPatternFormats="1" applyAlignmentFormats="0" applyWidthHeightFormats="0">
  <queryTableRefresh nextId="4">
    <queryTableFields count="3">
      <queryTableField id="1" name="prefix" tableColumnId="1"/>
      <queryTableField id="2" name="vlan" tableColumnId="2"/>
      <queryTableField id="3" name="statu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9" xr16:uid="{00000000-0016-0000-0700-000006000000}" autoFormatId="16" applyNumberFormats="0" applyBorderFormats="0" applyFontFormats="1" applyPatternFormats="1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" xr16:uid="{00000000-0016-0000-0500-000004000000}" autoFormatId="16" applyNumberFormats="0" applyBorderFormats="0" applyFontFormats="1" applyPatternFormats="1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00000000-0016-0000-0600-000005000000}" autoFormatId="16" applyNumberFormats="0" applyBorderFormats="0" applyFontFormats="1" applyPatternFormats="1" applyAlignmentFormats="0" applyWidthHeightFormats="0">
  <queryTableRefresh nextId="6">
    <queryTableFields count="4">
      <queryTableField id="1" name="Device Type" tableColumnId="1"/>
      <queryTableField id="2" name="Manufacturer" tableColumnId="2"/>
      <queryTableField id="3" name="U Height" tableColumnId="3"/>
      <queryTableField id="4" name="slug" tableColumnId="4"/>
    </queryTableFields>
    <queryTableDeletedFields count="1">
      <deletedField name="Column1"/>
    </queryTableDeleted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0" xr16:uid="{00000000-0016-0000-0800-000007000000}" autoFormatId="16" applyNumberFormats="0" applyBorderFormats="0" applyFontFormats="1" applyPatternFormats="1" applyAlignmentFormats="0" applyWidthHeightFormats="0">
  <queryTableRefresh nextId="10" unboundColumnsRight="2">
    <queryTableFields count="9">
      <queryTableField id="1" name="Column1" tableColumnId="1"/>
      <queryTableField id="2" name="Column2" tableColumnId="2"/>
      <queryTableField id="3" name="Column3" tableColumnId="3"/>
      <queryTableField id="4" dataBound="0" tableColumnId="7"/>
      <queryTableField id="5" name="Column4" tableColumnId="4"/>
      <queryTableField id="6" name="Column5" tableColumnId="5"/>
      <queryTableField id="7" name="Column6" tableColumnId="6"/>
      <queryTableField id="8" dataBound="0" tableColumnId="8"/>
      <queryTableField id="9" dataBound="0" tableColumnId="9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1" xr16:uid="{00000000-0016-0000-0900-000008000000}" autoFormatId="16" applyNumberFormats="0" applyBorderFormats="0" applyFontFormats="1" applyPatternFormats="1" applyAlignmentFormats="0" applyWidthHeightFormats="0">
  <queryTableRefresh nextId="10">
    <queryTableFields count="9">
      <queryTableField id="1" name="name" tableColumnId="1"/>
      <queryTableField id="2" name="device" tableColumnId="2"/>
      <queryTableField id="3" name="enabled" tableColumnId="3"/>
      <queryTableField id="4" name="type" tableColumnId="4"/>
      <queryTableField id="5" name="description" tableColumnId="5"/>
      <queryTableField id="6" name="mode" tableColumnId="6"/>
      <queryTableField id="7" name="untagged_vlan" tableColumnId="7"/>
      <queryTableField id="8" name="tagged_vlans" tableColumnId="8"/>
      <queryTableField id="9" name="cf_port_role" tableColumnId="9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12" xr16:uid="{00000000-0016-0000-0A00-000009000000}" autoFormatId="16" applyNumberFormats="0" applyBorderFormats="0" applyFontFormats="1" applyPatternFormats="1" applyAlignmentFormats="0" applyWidthHeightFormats="0">
  <queryTableRefresh nextId="6">
    <queryTableFields count="5">
      <queryTableField id="1" name="address" tableColumnId="1"/>
      <queryTableField id="2" name="status" tableColumnId="2"/>
      <queryTableField id="3" name="interface" tableColumnId="3"/>
      <queryTableField id="4" name="device" tableColumnId="4"/>
      <queryTableField id="5" name="is_primary" tableColumnId="5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4" xr16:uid="{00000000-0016-0000-0B00-00000A000000}" autoFormatId="16" applyNumberFormats="0" applyBorderFormats="0" applyFontFormats="1" applyPatternFormats="1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sites" displayName="sites" ref="A1:F2" tableType="queryTable" totalsRowShown="0" headerRowDxfId="72">
  <autoFilter ref="A1:F2" xr:uid="{00000000-0009-0000-0100-000002000000}"/>
  <tableColumns count="6">
    <tableColumn id="1" xr3:uid="{00000000-0010-0000-0000-000001000000}" uniqueName="1" name="name" queryTableFieldId="1" dataDxfId="71"/>
    <tableColumn id="2" xr3:uid="{2395F908-C6C3-43B3-A970-BEEF2D0EA3AE}" uniqueName="2" name="region" queryTableFieldId="6" dataDxfId="70"/>
    <tableColumn id="3" xr3:uid="{00000000-0010-0000-0000-000003000000}" uniqueName="3" name="description" queryTableFieldId="2" dataDxfId="69"/>
    <tableColumn id="4" xr3:uid="{00000000-0010-0000-0000-000004000000}" uniqueName="4" name="slug" queryTableFieldId="3" dataDxfId="68"/>
    <tableColumn id="5" xr3:uid="{00000000-0010-0000-0000-000005000000}" uniqueName="5" name="time_zone" queryTableFieldId="4" dataDxfId="67"/>
    <tableColumn id="6" xr3:uid="{00000000-0010-0000-0000-000006000000}" uniqueName="6" name="status" queryTableFieldId="5" dataDxfId="6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1000000}" name="locations" displayName="locations" ref="A1:D2" tableType="queryTable" totalsRowShown="0" headerRowDxfId="0">
  <autoFilter ref="A1:D2" xr:uid="{00000000-0009-0000-0100-000010000000}"/>
  <tableColumns count="4">
    <tableColumn id="1" xr3:uid="{00000000-0010-0000-0100-000001000000}" uniqueName="1" name="name" queryTableFieldId="1" dataDxfId="65"/>
    <tableColumn id="2" xr3:uid="{00000000-0010-0000-0100-000002000000}" uniqueName="2" name="site" queryTableFieldId="2" dataDxfId="64"/>
    <tableColumn id="3" xr3:uid="{00000000-0010-0000-0100-000003000000}" uniqueName="3" name="status" queryTableFieldId="3" dataDxfId="63"/>
    <tableColumn id="4" xr3:uid="{00000000-0010-0000-0100-000004000000}" uniqueName="4" name="slug" queryTableFieldId="4" dataDxfId="6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2000000}" name="netbox_racks" displayName="netbox_racks" ref="A1:F9" tableType="queryTable" totalsRowShown="0">
  <autoFilter ref="A1:F9" xr:uid="{00000000-0009-0000-0100-000011000000}"/>
  <tableColumns count="6">
    <tableColumn id="1" xr3:uid="{00000000-0010-0000-0200-000001000000}" uniqueName="1" name="name" queryTableFieldId="1" dataDxfId="61"/>
    <tableColumn id="2" xr3:uid="{00000000-0010-0000-0200-000002000000}" uniqueName="2" name="site" queryTableFieldId="2" dataDxfId="60"/>
    <tableColumn id="3" xr3:uid="{00000000-0010-0000-0200-000003000000}" uniqueName="3" name="location" queryTableFieldId="3" dataDxfId="59"/>
    <tableColumn id="4" xr3:uid="{00000000-0010-0000-0200-000004000000}" uniqueName="4" name="status" queryTableFieldId="4" dataDxfId="58"/>
    <tableColumn id="5" xr3:uid="{00000000-0010-0000-0200-000005000000}" uniqueName="5" name="u_height" queryTableFieldId="5"/>
    <tableColumn id="6" xr3:uid="{00000000-0010-0000-0200-000006000000}" uniqueName="6" name="width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bl_vlan" displayName="tbl_vlan" ref="A1:D5" totalsRowShown="0">
  <autoFilter ref="A1:D5" xr:uid="{00000000-0009-0000-0100-000003000000}"/>
  <tableColumns count="4">
    <tableColumn id="1" xr3:uid="{00000000-0010-0000-0300-000001000000}" name="vid" dataDxfId="57"/>
    <tableColumn id="2" xr3:uid="{00000000-0010-0000-0300-000002000000}" name="name" dataDxfId="56"/>
    <tableColumn id="3" xr3:uid="{00000000-0010-0000-0300-000003000000}" name="status" dataDxfId="55"/>
    <tableColumn id="4" xr3:uid="{00000000-0010-0000-0300-000004000000}" name="description" dataDxfId="5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4000000}" name="prefixes" displayName="prefixes" ref="A1:C5" tableType="queryTable" totalsRowShown="0">
  <autoFilter ref="A1:C5" xr:uid="{00000000-0009-0000-0100-00000E000000}"/>
  <tableColumns count="3">
    <tableColumn id="1" xr3:uid="{00000000-0010-0000-0400-000001000000}" uniqueName="1" name="prefix" queryTableFieldId="1" dataDxfId="53"/>
    <tableColumn id="2" xr3:uid="{00000000-0010-0000-0400-000002000000}" uniqueName="2" name="vlan" queryTableFieldId="2" dataDxfId="52"/>
    <tableColumn id="3" xr3:uid="{00000000-0010-0000-0400-000003000000}" uniqueName="3" name="status" queryTableFieldId="3" dataDxfId="5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evice_roles" displayName="device_roles" ref="A1:C3" tableType="queryTable" totalsRowShown="0" headerRowDxfId="46">
  <autoFilter ref="A1:C3" xr:uid="{00000000-0009-0000-0100-000008000000}"/>
  <tableColumns count="3">
    <tableColumn id="1" xr3:uid="{00000000-0010-0000-0700-000001000000}" uniqueName="1" name="name" queryTableFieldId="1" dataDxfId="45"/>
    <tableColumn id="2" xr3:uid="{00000000-0010-0000-0700-000002000000}" uniqueName="2" name="color" queryTableFieldId="2" dataDxfId="44"/>
    <tableColumn id="3" xr3:uid="{00000000-0010-0000-0700-000003000000}" uniqueName="3" name="slug" queryTableFieldId="3" dataDxfId="4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manufacturers" displayName="manufacturers" ref="A1:C2" tableType="queryTable" totalsRowShown="0" headerRowDxfId="50">
  <autoFilter ref="A1:C2" xr:uid="{00000000-0009-0000-0100-000007000000}"/>
  <tableColumns count="3">
    <tableColumn id="1" xr3:uid="{00000000-0010-0000-0500-000001000000}" uniqueName="1" name="name" queryTableFieldId="1" dataDxfId="49"/>
    <tableColumn id="2" xr3:uid="{00000000-0010-0000-0500-000002000000}" uniqueName="2" name="description" queryTableFieldId="2" dataDxfId="48"/>
    <tableColumn id="3" xr3:uid="{00000000-0010-0000-0500-000003000000}" uniqueName="3" name="slug" queryTableFieldId="3" dataDxfId="4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6000000}" name="_05_device_types" displayName="_05_device_types" ref="A1:D2" tableType="queryTable" totalsRowShown="0">
  <autoFilter ref="A1:D2" xr:uid="{00000000-0009-0000-0100-00000F000000}"/>
  <tableColumns count="4">
    <tableColumn id="1" xr3:uid="{00000000-0010-0000-0600-000001000000}" uniqueName="1" name="model" queryTableFieldId="1" dataDxfId="42"/>
    <tableColumn id="2" xr3:uid="{00000000-0010-0000-0600-000002000000}" uniqueName="2" name="manufacturer" queryTableFieldId="2" dataDxfId="41"/>
    <tableColumn id="3" xr3:uid="{00000000-0010-0000-0600-000003000000}" uniqueName="3" name="u_height" queryTableFieldId="3" dataDxfId="40"/>
    <tableColumn id="4" xr3:uid="{00000000-0010-0000-0600-000004000000}" uniqueName="4" name="slug" queryTableFieldId="4" dataDxfId="39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evices" displayName="devices" ref="A1:I11" tableType="queryTable" totalsRowShown="0" headerRowDxfId="38">
  <autoFilter ref="A1:I11" xr:uid="{00000000-0009-0000-0100-000009000000}"/>
  <tableColumns count="9">
    <tableColumn id="1" xr3:uid="{00000000-0010-0000-0800-000001000000}" uniqueName="1" name="name" queryTableFieldId="1" dataDxfId="37"/>
    <tableColumn id="2" xr3:uid="{00000000-0010-0000-0800-000002000000}" uniqueName="2" name="device_type" queryTableFieldId="2" dataDxfId="36"/>
    <tableColumn id="3" xr3:uid="{00000000-0010-0000-0800-000003000000}" uniqueName="3" name="status" queryTableFieldId="3" dataDxfId="35"/>
    <tableColumn id="7" xr3:uid="{00000000-0010-0000-0800-000007000000}" uniqueName="7" name="location" queryTableFieldId="4" dataDxfId="34"/>
    <tableColumn id="4" xr3:uid="{00000000-0010-0000-0800-000004000000}" uniqueName="4" name="site" queryTableFieldId="5" dataDxfId="33"/>
    <tableColumn id="5" xr3:uid="{00000000-0010-0000-0800-000005000000}" uniqueName="5" name="role" queryTableFieldId="6" dataDxfId="32"/>
    <tableColumn id="6" xr3:uid="{00000000-0010-0000-0800-000006000000}" uniqueName="6" name="manufacturer" queryTableFieldId="7" dataDxfId="31"/>
    <tableColumn id="8" xr3:uid="{00000000-0010-0000-0800-000008000000}" uniqueName="8" name="cf_device_number" queryTableFieldId="8" dataDxfId="30"/>
    <tableColumn id="9" xr3:uid="{00000000-0010-0000-0800-000009000000}" uniqueName="9" name="rack" queryTableFieldId="9" dataDxfId="29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interfaces" displayName="interfaces" ref="A1:I180" tableType="queryTable" totalsRowShown="0" headerRowDxfId="28" dataDxfId="27">
  <autoFilter ref="A1:I180" xr:uid="{00000000-0009-0000-0100-00000A000000}"/>
  <tableColumns count="9">
    <tableColumn id="1" xr3:uid="{00000000-0010-0000-0900-000001000000}" uniqueName="1" name="name" queryTableFieldId="1" dataDxfId="26"/>
    <tableColumn id="2" xr3:uid="{00000000-0010-0000-0900-000002000000}" uniqueName="2" name="device" queryTableFieldId="2" dataDxfId="25"/>
    <tableColumn id="3" xr3:uid="{00000000-0010-0000-0900-000003000000}" uniqueName="3" name="enabled" queryTableFieldId="3" dataDxfId="24"/>
    <tableColumn id="4" xr3:uid="{00000000-0010-0000-0900-000004000000}" uniqueName="4" name="type" queryTableFieldId="4" dataDxfId="23"/>
    <tableColumn id="5" xr3:uid="{00000000-0010-0000-0900-000005000000}" uniqueName="5" name="description" queryTableFieldId="5" dataDxfId="22"/>
    <tableColumn id="6" xr3:uid="{00000000-0010-0000-0900-000006000000}" uniqueName="6" name="mode" queryTableFieldId="6" dataDxfId="21"/>
    <tableColumn id="7" xr3:uid="{00000000-0010-0000-0900-000007000000}" uniqueName="7" name="untagged_vlan" queryTableFieldId="7" dataDxfId="20"/>
    <tableColumn id="8" xr3:uid="{00000000-0010-0000-0900-000008000000}" uniqueName="8" name="tagged_vlans" queryTableFieldId="8" dataDxfId="19"/>
    <tableColumn id="9" xr3:uid="{00000000-0010-0000-0900-000009000000}" uniqueName="9" name="cf_port_role" queryTableFieldId="9" dataDxfId="18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IP_addresses" displayName="IP_addresses" ref="A1:E21" tableType="queryTable" totalsRowShown="0" headerRowDxfId="17" dataDxfId="16">
  <autoFilter ref="A1:E21" xr:uid="{00000000-0009-0000-0100-00000B000000}"/>
  <tableColumns count="5">
    <tableColumn id="1" xr3:uid="{00000000-0010-0000-0A00-000001000000}" uniqueName="1" name="address" queryTableFieldId="1" dataDxfId="15"/>
    <tableColumn id="2" xr3:uid="{00000000-0010-0000-0A00-000002000000}" uniqueName="2" name="status" queryTableFieldId="2" dataDxfId="14"/>
    <tableColumn id="3" xr3:uid="{00000000-0010-0000-0A00-000003000000}" uniqueName="3" name="interface" queryTableFieldId="3" dataDxfId="13"/>
    <tableColumn id="4" xr3:uid="{00000000-0010-0000-0A00-000004000000}" uniqueName="4" name="device" queryTableFieldId="4" dataDxfId="12"/>
    <tableColumn id="5" xr3:uid="{00000000-0010-0000-0A00-000005000000}" uniqueName="5" name="is_primary" queryTableFieldId="5" dataDxfId="11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B000000}" name="netbox_cables" displayName="netbox_cables" ref="A1:H19" tableType="queryTable" totalsRowShown="0" headerRowDxfId="10" dataDxfId="9">
  <autoFilter ref="A1:H19" xr:uid="{00000000-0009-0000-0100-00000D000000}"/>
  <tableColumns count="8">
    <tableColumn id="1" xr3:uid="{00000000-0010-0000-0B00-000001000000}" uniqueName="1" name="side_a_type" queryTableFieldId="1" dataDxfId="8"/>
    <tableColumn id="2" xr3:uid="{00000000-0010-0000-0B00-000002000000}" uniqueName="2" name="side_a_device" queryTableFieldId="2" dataDxfId="7"/>
    <tableColumn id="3" xr3:uid="{00000000-0010-0000-0B00-000003000000}" uniqueName="3" name="side_a_name" queryTableFieldId="3" dataDxfId="6"/>
    <tableColumn id="4" xr3:uid="{00000000-0010-0000-0B00-000004000000}" uniqueName="4" name="side_b_type" queryTableFieldId="4" dataDxfId="5"/>
    <tableColumn id="5" xr3:uid="{00000000-0010-0000-0B00-000005000000}" uniqueName="5" name="side_b_device" queryTableFieldId="5" dataDxfId="4"/>
    <tableColumn id="6" xr3:uid="{00000000-0010-0000-0B00-000006000000}" uniqueName="6" name="side_b_name" queryTableFieldId="6" dataDxfId="3"/>
    <tableColumn id="7" xr3:uid="{00000000-0010-0000-0B00-000007000000}" uniqueName="7" name="status" queryTableFieldId="7" dataDxfId="2"/>
    <tableColumn id="8" xr3:uid="{00000000-0010-0000-0B00-000008000000}" uniqueName="8" name="description" queryTableFieldId="8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D13" sqref="D13"/>
    </sheetView>
  </sheetViews>
  <sheetFormatPr defaultColWidth="9" defaultRowHeight="14.4"/>
  <cols>
    <col min="1" max="1" width="10.77734375" customWidth="1"/>
    <col min="2" max="2" width="10.77734375" bestFit="1" customWidth="1"/>
    <col min="3" max="3" width="49" bestFit="1" customWidth="1"/>
    <col min="4" max="6" width="10.77734375" customWidth="1"/>
  </cols>
  <sheetData>
    <row r="1" spans="1:6">
      <c r="A1" s="1" t="s">
        <v>0</v>
      </c>
      <c r="B1" s="1" t="s">
        <v>104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46</v>
      </c>
      <c r="B2" s="1" t="s">
        <v>105</v>
      </c>
      <c r="C2" s="1" t="s">
        <v>5</v>
      </c>
      <c r="D2" s="1" t="s">
        <v>6</v>
      </c>
      <c r="E2" s="1" t="s">
        <v>7</v>
      </c>
      <c r="F2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D13" sqref="D13"/>
    </sheetView>
  </sheetViews>
  <sheetFormatPr defaultColWidth="9" defaultRowHeight="14.4"/>
  <cols>
    <col min="1" max="4" width="10.77734375" customWidth="1"/>
  </cols>
  <sheetData>
    <row r="1" spans="1:4">
      <c r="A1" s="1" t="s">
        <v>0</v>
      </c>
      <c r="B1" s="1" t="s">
        <v>9</v>
      </c>
      <c r="C1" s="1" t="s">
        <v>4</v>
      </c>
      <c r="D1" s="1" t="s">
        <v>2</v>
      </c>
    </row>
    <row r="2" spans="1:4">
      <c r="A2" s="1" t="s">
        <v>10</v>
      </c>
      <c r="B2" s="1" t="s">
        <v>46</v>
      </c>
      <c r="C2" s="1" t="s">
        <v>8</v>
      </c>
      <c r="D2" s="1" t="s">
        <v>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zoomScaleNormal="100" workbookViewId="0">
      <selection activeCell="B12" sqref="B12"/>
    </sheetView>
  </sheetViews>
  <sheetFormatPr defaultColWidth="9" defaultRowHeight="14.4"/>
  <cols>
    <col min="1" max="1" width="17.109375" customWidth="1"/>
    <col min="2" max="2" width="10.6640625" customWidth="1"/>
    <col min="3" max="3" width="10" customWidth="1"/>
    <col min="4" max="4" width="8.21875" customWidth="1"/>
    <col min="5" max="5" width="10.6640625" customWidth="1"/>
    <col min="6" max="6" width="8" customWidth="1"/>
  </cols>
  <sheetData>
    <row r="1" spans="1:6">
      <c r="A1" t="s">
        <v>0</v>
      </c>
      <c r="B1" t="s">
        <v>9</v>
      </c>
      <c r="C1" t="s">
        <v>12</v>
      </c>
      <c r="D1" t="s">
        <v>4</v>
      </c>
      <c r="E1" t="s">
        <v>13</v>
      </c>
      <c r="F1" t="s">
        <v>14</v>
      </c>
    </row>
    <row r="2" spans="1:6">
      <c r="A2" s="1" t="s">
        <v>15</v>
      </c>
      <c r="B2" s="1" t="s">
        <v>46</v>
      </c>
      <c r="C2" s="1" t="s">
        <v>10</v>
      </c>
      <c r="D2" s="1" t="s">
        <v>8</v>
      </c>
      <c r="E2">
        <v>43</v>
      </c>
      <c r="F2">
        <v>19</v>
      </c>
    </row>
    <row r="3" spans="1:6">
      <c r="A3" s="1" t="s">
        <v>106</v>
      </c>
      <c r="B3" s="1" t="s">
        <v>46</v>
      </c>
      <c r="C3" s="1" t="s">
        <v>10</v>
      </c>
      <c r="D3" s="1" t="s">
        <v>8</v>
      </c>
      <c r="E3">
        <v>43</v>
      </c>
      <c r="F3">
        <v>19</v>
      </c>
    </row>
    <row r="4" spans="1:6">
      <c r="A4" s="1" t="s">
        <v>107</v>
      </c>
      <c r="B4" s="1" t="s">
        <v>46</v>
      </c>
      <c r="C4" s="1" t="s">
        <v>10</v>
      </c>
      <c r="D4" s="1" t="s">
        <v>8</v>
      </c>
      <c r="E4">
        <v>43</v>
      </c>
      <c r="F4">
        <v>19</v>
      </c>
    </row>
    <row r="5" spans="1:6">
      <c r="A5" s="1" t="s">
        <v>108</v>
      </c>
      <c r="B5" s="1" t="s">
        <v>46</v>
      </c>
      <c r="C5" s="1" t="s">
        <v>10</v>
      </c>
      <c r="D5" s="1" t="s">
        <v>8</v>
      </c>
      <c r="E5">
        <v>43</v>
      </c>
      <c r="F5">
        <v>19</v>
      </c>
    </row>
    <row r="6" spans="1:6">
      <c r="A6" s="1" t="s">
        <v>109</v>
      </c>
      <c r="B6" s="1" t="s">
        <v>46</v>
      </c>
      <c r="C6" s="1" t="s">
        <v>10</v>
      </c>
      <c r="D6" s="1" t="s">
        <v>8</v>
      </c>
      <c r="E6">
        <v>43</v>
      </c>
      <c r="F6">
        <v>19</v>
      </c>
    </row>
    <row r="7" spans="1:6">
      <c r="A7" s="1" t="s">
        <v>110</v>
      </c>
      <c r="B7" s="1" t="s">
        <v>46</v>
      </c>
      <c r="C7" s="1" t="s">
        <v>10</v>
      </c>
      <c r="D7" s="1" t="s">
        <v>8</v>
      </c>
      <c r="E7">
        <v>43</v>
      </c>
      <c r="F7">
        <v>19</v>
      </c>
    </row>
    <row r="8" spans="1:6">
      <c r="A8" s="1" t="s">
        <v>111</v>
      </c>
      <c r="B8" s="1" t="s">
        <v>46</v>
      </c>
      <c r="C8" s="1" t="s">
        <v>10</v>
      </c>
      <c r="D8" s="1" t="s">
        <v>8</v>
      </c>
      <c r="E8">
        <v>43</v>
      </c>
      <c r="F8">
        <v>19</v>
      </c>
    </row>
    <row r="9" spans="1:6">
      <c r="A9" s="1" t="s">
        <v>112</v>
      </c>
      <c r="B9" s="1" t="s">
        <v>46</v>
      </c>
      <c r="C9" s="1" t="s">
        <v>10</v>
      </c>
      <c r="D9" s="1" t="s">
        <v>8</v>
      </c>
      <c r="E9">
        <v>43</v>
      </c>
      <c r="F9">
        <v>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"/>
  <sheetViews>
    <sheetView workbookViewId="0">
      <selection activeCell="A18" sqref="A18"/>
    </sheetView>
  </sheetViews>
  <sheetFormatPr defaultColWidth="9" defaultRowHeight="14.4"/>
  <cols>
    <col min="1" max="1" width="19.109375" customWidth="1"/>
    <col min="2" max="2" width="18.6640625" customWidth="1"/>
    <col min="3" max="3" width="20.77734375" customWidth="1"/>
    <col min="4" max="4" width="39.5546875" customWidth="1"/>
  </cols>
  <sheetData>
    <row r="1" spans="1:4">
      <c r="A1" s="5" t="s">
        <v>16</v>
      </c>
      <c r="B1" s="5" t="s">
        <v>0</v>
      </c>
      <c r="C1" s="5" t="s">
        <v>4</v>
      </c>
      <c r="D1" s="5" t="s">
        <v>1</v>
      </c>
    </row>
    <row r="2" spans="1:4">
      <c r="A2" s="6">
        <v>1</v>
      </c>
      <c r="B2" s="7" t="s">
        <v>17</v>
      </c>
      <c r="C2" s="7" t="s">
        <v>8</v>
      </c>
      <c r="D2" s="7" t="s">
        <v>18</v>
      </c>
    </row>
    <row r="3" spans="1:4">
      <c r="A3" s="8">
        <v>10</v>
      </c>
      <c r="B3" s="9" t="s">
        <v>19</v>
      </c>
      <c r="C3" s="9" t="s">
        <v>8</v>
      </c>
      <c r="D3" s="9" t="s">
        <v>20</v>
      </c>
    </row>
    <row r="4" spans="1:4">
      <c r="A4" s="6">
        <v>20</v>
      </c>
      <c r="B4" s="7" t="s">
        <v>21</v>
      </c>
      <c r="C4" s="7" t="s">
        <v>8</v>
      </c>
      <c r="D4" s="7" t="s">
        <v>22</v>
      </c>
    </row>
    <row r="5" spans="1:4">
      <c r="A5" s="10">
        <v>30</v>
      </c>
      <c r="B5" s="10" t="s">
        <v>23</v>
      </c>
      <c r="C5" s="10" t="s">
        <v>8</v>
      </c>
      <c r="D5" s="10" t="s">
        <v>24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A9" sqref="A9"/>
    </sheetView>
  </sheetViews>
  <sheetFormatPr defaultColWidth="9" defaultRowHeight="14.4"/>
  <cols>
    <col min="1" max="1" width="11.44140625" bestFit="1" customWidth="1"/>
    <col min="2" max="2" width="6.77734375" bestFit="1" customWidth="1"/>
    <col min="3" max="3" width="8.21875" bestFit="1" customWidth="1"/>
  </cols>
  <sheetData>
    <row r="1" spans="1:3">
      <c r="A1" s="4" t="s">
        <v>25</v>
      </c>
      <c r="B1" s="4" t="s">
        <v>26</v>
      </c>
      <c r="C1" s="4" t="s">
        <v>4</v>
      </c>
    </row>
    <row r="2" spans="1:3">
      <c r="A2" s="4" t="s">
        <v>29</v>
      </c>
      <c r="B2" s="4">
        <v>1</v>
      </c>
      <c r="C2" s="4" t="s">
        <v>8</v>
      </c>
    </row>
    <row r="3" spans="1:3">
      <c r="A3" s="4" t="s">
        <v>28</v>
      </c>
      <c r="B3" s="4">
        <v>10</v>
      </c>
      <c r="C3" s="4" t="s">
        <v>8</v>
      </c>
    </row>
    <row r="4" spans="1:3">
      <c r="A4" s="4" t="s">
        <v>27</v>
      </c>
      <c r="B4" s="4">
        <v>20</v>
      </c>
      <c r="C4" s="4" t="s">
        <v>8</v>
      </c>
    </row>
    <row r="5" spans="1:3">
      <c r="A5" s="4" t="s">
        <v>30</v>
      </c>
      <c r="B5" s="4">
        <v>30</v>
      </c>
      <c r="C5" s="4" t="s">
        <v>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"/>
  <sheetViews>
    <sheetView zoomScale="115" zoomScaleNormal="115" workbookViewId="0">
      <selection activeCell="A10" sqref="A10"/>
    </sheetView>
  </sheetViews>
  <sheetFormatPr defaultColWidth="9" defaultRowHeight="14.4"/>
  <cols>
    <col min="1" max="2" width="10.77734375" customWidth="1"/>
    <col min="3" max="3" width="10.77734375" bestFit="1" customWidth="1"/>
  </cols>
  <sheetData>
    <row r="1" spans="1:3">
      <c r="A1" s="1" t="s">
        <v>0</v>
      </c>
      <c r="B1" s="1" t="s">
        <v>35</v>
      </c>
      <c r="C1" s="1" t="s">
        <v>2</v>
      </c>
    </row>
    <row r="2" spans="1:3">
      <c r="A2" s="1" t="s">
        <v>36</v>
      </c>
      <c r="B2" s="1" t="s">
        <v>37</v>
      </c>
      <c r="C2" s="1" t="s">
        <v>38</v>
      </c>
    </row>
    <row r="3" spans="1:3">
      <c r="A3" s="1" t="s">
        <v>39</v>
      </c>
      <c r="B3" s="1" t="s">
        <v>37</v>
      </c>
      <c r="C3" s="1" t="s">
        <v>40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"/>
  <sheetViews>
    <sheetView workbookViewId="0">
      <selection activeCell="K21" sqref="K21"/>
    </sheetView>
  </sheetViews>
  <sheetFormatPr defaultColWidth="9" defaultRowHeight="14.4"/>
  <cols>
    <col min="1" max="1" width="10.77734375" customWidth="1"/>
    <col min="2" max="2" width="17.5546875" customWidth="1"/>
    <col min="3" max="3" width="10.77734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31</v>
      </c>
      <c r="B2" s="1" t="s">
        <v>32</v>
      </c>
      <c r="C2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>
      <selection activeCell="H12" sqref="H12"/>
    </sheetView>
  </sheetViews>
  <sheetFormatPr defaultColWidth="9" defaultRowHeight="14.4"/>
  <cols>
    <col min="1" max="1" width="13.33203125" customWidth="1"/>
    <col min="2" max="2" width="14.88671875" customWidth="1"/>
    <col min="3" max="3" width="10.44140625" customWidth="1"/>
    <col min="4" max="4" width="8" customWidth="1"/>
  </cols>
  <sheetData>
    <row r="1" spans="1:4">
      <c r="A1" t="s">
        <v>113</v>
      </c>
      <c r="B1" t="s">
        <v>43</v>
      </c>
      <c r="C1" t="s">
        <v>13</v>
      </c>
      <c r="D1" t="s">
        <v>2</v>
      </c>
    </row>
    <row r="2" spans="1:4">
      <c r="A2" s="2" t="s">
        <v>34</v>
      </c>
      <c r="B2" s="2" t="s">
        <v>31</v>
      </c>
      <c r="C2" s="3">
        <v>1</v>
      </c>
      <c r="D2" s="2" t="s">
        <v>34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1"/>
  <sheetViews>
    <sheetView zoomScale="130" zoomScaleNormal="130" workbookViewId="0">
      <selection activeCell="H11" sqref="H11"/>
    </sheetView>
  </sheetViews>
  <sheetFormatPr defaultColWidth="9" defaultRowHeight="14.4"/>
  <cols>
    <col min="1" max="1" width="38.88671875" bestFit="1" customWidth="1"/>
    <col min="2" max="3" width="10.77734375" customWidth="1"/>
    <col min="4" max="4" width="10" bestFit="1" customWidth="1"/>
    <col min="5" max="6" width="10.77734375" customWidth="1"/>
    <col min="7" max="7" width="12.109375" customWidth="1"/>
    <col min="8" max="8" width="19" bestFit="1" customWidth="1"/>
    <col min="9" max="9" width="13.6640625" customWidth="1"/>
  </cols>
  <sheetData>
    <row r="1" spans="1:9">
      <c r="A1" s="13" t="s">
        <v>0</v>
      </c>
      <c r="B1" s="13" t="s">
        <v>41</v>
      </c>
      <c r="C1" s="13" t="s">
        <v>4</v>
      </c>
      <c r="D1" s="13" t="s">
        <v>12</v>
      </c>
      <c r="E1" s="13" t="s">
        <v>9</v>
      </c>
      <c r="F1" s="13" t="s">
        <v>42</v>
      </c>
      <c r="G1" s="13" t="s">
        <v>43</v>
      </c>
      <c r="H1" s="13" t="s">
        <v>44</v>
      </c>
      <c r="I1" s="13" t="s">
        <v>45</v>
      </c>
    </row>
    <row r="2" spans="1:9">
      <c r="A2" s="12" t="str">
        <f>I2&amp;"-"&amp;B2&amp;"-"&amp;F2&amp;"-"&amp;H2</f>
        <v>CCTV-MRACK-TEST_C1-CORE_SW-01</v>
      </c>
      <c r="B2" s="12" t="s">
        <v>34</v>
      </c>
      <c r="C2" s="1" t="s">
        <v>8</v>
      </c>
      <c r="D2" s="12" t="s">
        <v>10</v>
      </c>
      <c r="E2" s="12" t="s">
        <v>46</v>
      </c>
      <c r="F2" s="1" t="s">
        <v>39</v>
      </c>
      <c r="G2" s="1" t="s">
        <v>31</v>
      </c>
      <c r="H2" s="11" t="s">
        <v>115</v>
      </c>
      <c r="I2" t="s">
        <v>112</v>
      </c>
    </row>
    <row r="3" spans="1:9">
      <c r="A3" s="12" t="str">
        <f t="shared" ref="A3:A11" si="0">I3&amp;"-"&amp;B3&amp;"-"&amp;F3&amp;"-"&amp;H3</f>
        <v>HH1-RACK-B1-TEST_C1-ACC_SW-01</v>
      </c>
      <c r="B3" s="1" t="s">
        <v>34</v>
      </c>
      <c r="C3" s="1" t="s">
        <v>8</v>
      </c>
      <c r="D3" s="1" t="s">
        <v>10</v>
      </c>
      <c r="E3" s="1" t="s">
        <v>46</v>
      </c>
      <c r="F3" s="1" t="s">
        <v>36</v>
      </c>
      <c r="G3" s="1" t="s">
        <v>31</v>
      </c>
      <c r="H3" s="11" t="s">
        <v>115</v>
      </c>
      <c r="I3" s="1" t="s">
        <v>15</v>
      </c>
    </row>
    <row r="4" spans="1:9">
      <c r="A4" s="12" t="str">
        <f>I4&amp;"-"&amp;B4&amp;"-"&amp;F4&amp;"-"&amp;H4</f>
        <v>RACK-CA-H-1-TEST_C1-ACC_SW-01</v>
      </c>
      <c r="B4" s="1" t="s">
        <v>34</v>
      </c>
      <c r="C4" s="1" t="s">
        <v>8</v>
      </c>
      <c r="D4" s="1" t="s">
        <v>10</v>
      </c>
      <c r="E4" s="1" t="s">
        <v>46</v>
      </c>
      <c r="F4" s="1" t="s">
        <v>36</v>
      </c>
      <c r="G4" s="1" t="s">
        <v>31</v>
      </c>
      <c r="H4" s="11" t="s">
        <v>115</v>
      </c>
      <c r="I4" t="s">
        <v>114</v>
      </c>
    </row>
    <row r="5" spans="1:9">
      <c r="A5" s="12" t="str">
        <f>I5&amp;"-"&amp;B5&amp;"-"&amp;F5&amp;"-"&amp;H5</f>
        <v>RACK-CA-H-1-TEST_C1-ACC_SW-02</v>
      </c>
      <c r="B5" s="1" t="s">
        <v>34</v>
      </c>
      <c r="C5" s="1" t="s">
        <v>8</v>
      </c>
      <c r="D5" s="1" t="s">
        <v>10</v>
      </c>
      <c r="E5" s="1" t="s">
        <v>46</v>
      </c>
      <c r="F5" s="1" t="s">
        <v>36</v>
      </c>
      <c r="G5" s="1" t="s">
        <v>31</v>
      </c>
      <c r="H5" s="11" t="s">
        <v>116</v>
      </c>
      <c r="I5" t="s">
        <v>114</v>
      </c>
    </row>
    <row r="6" spans="1:9">
      <c r="A6" s="12" t="str">
        <f t="shared" si="0"/>
        <v>RACK-CA-H-2-TEST_C1-ACC_SW-01</v>
      </c>
      <c r="B6" s="1" t="s">
        <v>34</v>
      </c>
      <c r="C6" s="1" t="s">
        <v>8</v>
      </c>
      <c r="D6" s="1" t="s">
        <v>10</v>
      </c>
      <c r="E6" s="1" t="s">
        <v>46</v>
      </c>
      <c r="F6" s="1" t="s">
        <v>36</v>
      </c>
      <c r="G6" s="1" t="s">
        <v>31</v>
      </c>
      <c r="H6" s="11" t="s">
        <v>115</v>
      </c>
      <c r="I6" t="s">
        <v>107</v>
      </c>
    </row>
    <row r="7" spans="1:9">
      <c r="A7" s="12" t="str">
        <f>I7&amp;"-"&amp;B7&amp;"-"&amp;F7&amp;"-"&amp;H7</f>
        <v>HH1-RACK-T5-TEST_C1-ACC_SW-01</v>
      </c>
      <c r="B7" s="1" t="s">
        <v>34</v>
      </c>
      <c r="C7" s="1" t="s">
        <v>8</v>
      </c>
      <c r="D7" s="1" t="s">
        <v>10</v>
      </c>
      <c r="E7" s="1" t="s">
        <v>46</v>
      </c>
      <c r="F7" s="1" t="s">
        <v>36</v>
      </c>
      <c r="G7" s="1" t="s">
        <v>31</v>
      </c>
      <c r="H7" s="11" t="s">
        <v>115</v>
      </c>
      <c r="I7" s="1" t="s">
        <v>108</v>
      </c>
    </row>
    <row r="8" spans="1:9">
      <c r="A8" s="12" t="str">
        <f t="shared" si="0"/>
        <v>HH1-RACK-T10-TEST_C1-ACC_SW-01</v>
      </c>
      <c r="B8" s="1" t="s">
        <v>34</v>
      </c>
      <c r="C8" s="1" t="s">
        <v>8</v>
      </c>
      <c r="D8" s="1" t="s">
        <v>10</v>
      </c>
      <c r="E8" s="1" t="s">
        <v>46</v>
      </c>
      <c r="F8" s="1" t="s">
        <v>36</v>
      </c>
      <c r="G8" s="1" t="s">
        <v>31</v>
      </c>
      <c r="H8" s="11" t="s">
        <v>115</v>
      </c>
      <c r="I8" s="1" t="s">
        <v>109</v>
      </c>
    </row>
    <row r="9" spans="1:9">
      <c r="A9" s="12" t="str">
        <f t="shared" si="0"/>
        <v>HH1-RACK-T19-TEST_C1-ACC_SW-01</v>
      </c>
      <c r="B9" s="1" t="s">
        <v>34</v>
      </c>
      <c r="C9" s="1" t="s">
        <v>8</v>
      </c>
      <c r="D9" s="1" t="s">
        <v>10</v>
      </c>
      <c r="E9" s="1" t="s">
        <v>46</v>
      </c>
      <c r="F9" s="1" t="s">
        <v>36</v>
      </c>
      <c r="G9" s="1" t="s">
        <v>31</v>
      </c>
      <c r="H9" s="11" t="s">
        <v>115</v>
      </c>
      <c r="I9" t="s">
        <v>111</v>
      </c>
    </row>
    <row r="10" spans="1:9">
      <c r="A10" s="12" t="str">
        <f>I10&amp;"-"&amp;B10&amp;"-"&amp;F10&amp;"-"&amp;H10</f>
        <v>CCTV-MRACK-TEST_C1-ACC_SW-02</v>
      </c>
      <c r="B10" s="1" t="s">
        <v>34</v>
      </c>
      <c r="C10" s="1" t="s">
        <v>8</v>
      </c>
      <c r="D10" s="1" t="s">
        <v>10</v>
      </c>
      <c r="E10" s="1" t="s">
        <v>46</v>
      </c>
      <c r="F10" s="1" t="s">
        <v>36</v>
      </c>
      <c r="G10" s="1" t="s">
        <v>31</v>
      </c>
      <c r="H10" s="11" t="s">
        <v>116</v>
      </c>
      <c r="I10" t="s">
        <v>112</v>
      </c>
    </row>
    <row r="11" spans="1:9">
      <c r="A11" s="12" t="str">
        <f t="shared" si="0"/>
        <v>HH1-RACK-T15-TEST_C1-ACC_SW-01</v>
      </c>
      <c r="B11" s="1" t="s">
        <v>34</v>
      </c>
      <c r="C11" s="1" t="s">
        <v>8</v>
      </c>
      <c r="D11" s="1" t="s">
        <v>10</v>
      </c>
      <c r="E11" s="1" t="s">
        <v>46</v>
      </c>
      <c r="F11" s="1" t="s">
        <v>36</v>
      </c>
      <c r="G11" s="1" t="s">
        <v>31</v>
      </c>
      <c r="H11" s="11" t="s">
        <v>115</v>
      </c>
      <c r="I11" s="1" t="s">
        <v>110</v>
      </c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180"/>
  <sheetViews>
    <sheetView workbookViewId="0">
      <selection activeCell="K13" sqref="K13"/>
    </sheetView>
  </sheetViews>
  <sheetFormatPr defaultColWidth="9" defaultRowHeight="14.4"/>
  <cols>
    <col min="1" max="1" width="8" style="14" customWidth="1"/>
    <col min="2" max="2" width="30.77734375" style="14" bestFit="1" customWidth="1"/>
    <col min="3" max="4" width="10" style="14" customWidth="1"/>
    <col min="5" max="5" width="31.6640625" style="14" customWidth="1"/>
    <col min="6" max="6" width="8.109375" style="14" customWidth="1"/>
    <col min="7" max="7" width="15.88671875" style="14" customWidth="1"/>
    <col min="8" max="8" width="14.33203125" style="14" customWidth="1"/>
    <col min="9" max="9" width="13.5546875" style="14" customWidth="1"/>
    <col min="10" max="16384" width="9" style="14"/>
  </cols>
  <sheetData>
    <row r="1" spans="1:9">
      <c r="A1" s="14" t="s">
        <v>0</v>
      </c>
      <c r="B1" s="14" t="s">
        <v>47</v>
      </c>
      <c r="C1" s="14" t="s">
        <v>48</v>
      </c>
      <c r="D1" s="14" t="s">
        <v>49</v>
      </c>
      <c r="E1" s="14" t="s">
        <v>1</v>
      </c>
      <c r="F1" s="14" t="s">
        <v>50</v>
      </c>
      <c r="G1" s="14" t="s">
        <v>51</v>
      </c>
      <c r="H1" s="14" t="s">
        <v>52</v>
      </c>
      <c r="I1" s="23" t="s">
        <v>53</v>
      </c>
    </row>
    <row r="2" spans="1:9">
      <c r="A2" s="15" t="s">
        <v>54</v>
      </c>
      <c r="B2" s="15" t="str">
        <f>tbl_devices!A3</f>
        <v>HH1-RACK-B1-TEST_C1-ACC_SW-01</v>
      </c>
      <c r="C2" s="14" t="b">
        <v>1</v>
      </c>
      <c r="D2" s="15" t="s">
        <v>55</v>
      </c>
      <c r="E2" s="15" t="s">
        <v>56</v>
      </c>
      <c r="F2" s="15" t="s">
        <v>57</v>
      </c>
      <c r="H2" s="16" t="s">
        <v>127</v>
      </c>
      <c r="I2" s="15" t="s">
        <v>59</v>
      </c>
    </row>
    <row r="3" spans="1:9">
      <c r="A3" s="15" t="s">
        <v>58</v>
      </c>
      <c r="B3" s="15" t="str">
        <f>tbl_devices!A3</f>
        <v>HH1-RACK-B1-TEST_C1-ACC_SW-01</v>
      </c>
      <c r="C3" s="14" t="b">
        <v>1</v>
      </c>
      <c r="D3" s="15" t="s">
        <v>55</v>
      </c>
      <c r="E3" s="15" t="s">
        <v>56</v>
      </c>
      <c r="F3" s="15" t="s">
        <v>57</v>
      </c>
      <c r="H3" s="16" t="s">
        <v>127</v>
      </c>
      <c r="I3" s="15" t="s">
        <v>59</v>
      </c>
    </row>
    <row r="4" spans="1:9">
      <c r="A4" s="15" t="s">
        <v>60</v>
      </c>
      <c r="B4" s="15" t="str">
        <f>tbl_devices!A3</f>
        <v>HH1-RACK-B1-TEST_C1-ACC_SW-01</v>
      </c>
      <c r="C4" s="14" t="b">
        <v>1</v>
      </c>
      <c r="D4" s="15" t="s">
        <v>55</v>
      </c>
      <c r="E4" s="15" t="s">
        <v>61</v>
      </c>
      <c r="F4" s="15" t="s">
        <v>62</v>
      </c>
      <c r="G4" s="14">
        <v>20</v>
      </c>
      <c r="I4" s="15" t="s">
        <v>63</v>
      </c>
    </row>
    <row r="5" spans="1:9">
      <c r="A5" s="15" t="s">
        <v>64</v>
      </c>
      <c r="B5" s="15" t="str">
        <f>tbl_devices!A3</f>
        <v>HH1-RACK-B1-TEST_C1-ACC_SW-01</v>
      </c>
      <c r="C5" s="14" t="b">
        <v>1</v>
      </c>
      <c r="D5" s="15" t="s">
        <v>55</v>
      </c>
      <c r="E5" s="15" t="s">
        <v>61</v>
      </c>
      <c r="F5" s="15" t="s">
        <v>62</v>
      </c>
      <c r="G5" s="14">
        <v>20</v>
      </c>
      <c r="I5" s="15" t="s">
        <v>63</v>
      </c>
    </row>
    <row r="6" spans="1:9">
      <c r="A6" s="15" t="s">
        <v>65</v>
      </c>
      <c r="B6" s="15" t="str">
        <f>tbl_devices!A3</f>
        <v>HH1-RACK-B1-TEST_C1-ACC_SW-01</v>
      </c>
      <c r="C6" s="14" t="b">
        <v>1</v>
      </c>
      <c r="D6" s="15" t="s">
        <v>55</v>
      </c>
      <c r="E6" s="15" t="s">
        <v>61</v>
      </c>
      <c r="F6" s="15" t="s">
        <v>62</v>
      </c>
      <c r="G6" s="14">
        <v>20</v>
      </c>
      <c r="I6" s="15" t="s">
        <v>63</v>
      </c>
    </row>
    <row r="7" spans="1:9">
      <c r="A7" s="15" t="s">
        <v>66</v>
      </c>
      <c r="B7" s="15" t="str">
        <f>tbl_devices!A3</f>
        <v>HH1-RACK-B1-TEST_C1-ACC_SW-01</v>
      </c>
      <c r="C7" s="14" t="b">
        <v>1</v>
      </c>
      <c r="D7" s="15" t="s">
        <v>55</v>
      </c>
      <c r="E7" s="15" t="s">
        <v>61</v>
      </c>
      <c r="F7" s="15" t="s">
        <v>62</v>
      </c>
      <c r="G7" s="14">
        <v>20</v>
      </c>
      <c r="I7" s="15" t="s">
        <v>63</v>
      </c>
    </row>
    <row r="8" spans="1:9">
      <c r="A8" s="15" t="s">
        <v>67</v>
      </c>
      <c r="B8" s="15" t="str">
        <f>tbl_devices!A3</f>
        <v>HH1-RACK-B1-TEST_C1-ACC_SW-01</v>
      </c>
      <c r="C8" s="14" t="b">
        <v>1</v>
      </c>
      <c r="D8" s="15" t="s">
        <v>55</v>
      </c>
      <c r="E8" s="15" t="s">
        <v>61</v>
      </c>
      <c r="F8" s="15" t="s">
        <v>62</v>
      </c>
      <c r="G8" s="14">
        <v>20</v>
      </c>
      <c r="I8" s="15" t="s">
        <v>63</v>
      </c>
    </row>
    <row r="9" spans="1:9">
      <c r="A9" s="15" t="s">
        <v>68</v>
      </c>
      <c r="B9" s="15" t="str">
        <f>tbl_devices!A3</f>
        <v>HH1-RACK-B1-TEST_C1-ACC_SW-01</v>
      </c>
      <c r="C9" s="14" t="b">
        <v>1</v>
      </c>
      <c r="D9" s="15" t="s">
        <v>55</v>
      </c>
      <c r="E9" s="15" t="s">
        <v>61</v>
      </c>
      <c r="F9" s="15" t="s">
        <v>62</v>
      </c>
      <c r="G9" s="14">
        <v>20</v>
      </c>
      <c r="I9" s="15" t="s">
        <v>63</v>
      </c>
    </row>
    <row r="10" spans="1:9">
      <c r="A10" s="15" t="s">
        <v>69</v>
      </c>
      <c r="B10" s="15" t="str">
        <f>tbl_devices!A3</f>
        <v>HH1-RACK-B1-TEST_C1-ACC_SW-01</v>
      </c>
      <c r="C10" s="14" t="b">
        <v>1</v>
      </c>
      <c r="D10" s="15" t="s">
        <v>55</v>
      </c>
      <c r="E10" s="15" t="s">
        <v>61</v>
      </c>
      <c r="F10" s="15" t="s">
        <v>62</v>
      </c>
      <c r="G10" s="14">
        <v>20</v>
      </c>
      <c r="I10" s="15" t="s">
        <v>63</v>
      </c>
    </row>
    <row r="11" spans="1:9">
      <c r="A11" s="15" t="s">
        <v>70</v>
      </c>
      <c r="B11" s="15" t="str">
        <f>tbl_devices!A3</f>
        <v>HH1-RACK-B1-TEST_C1-ACC_SW-01</v>
      </c>
      <c r="C11" s="14" t="b">
        <v>1</v>
      </c>
      <c r="D11" s="15" t="s">
        <v>55</v>
      </c>
      <c r="E11" s="15" t="s">
        <v>61</v>
      </c>
      <c r="F11" s="15" t="s">
        <v>62</v>
      </c>
      <c r="G11" s="14">
        <v>20</v>
      </c>
      <c r="I11" s="15" t="s">
        <v>63</v>
      </c>
    </row>
    <row r="12" spans="1:9">
      <c r="A12" s="15" t="s">
        <v>71</v>
      </c>
      <c r="B12" s="15" t="str">
        <f>tbl_devices!A3</f>
        <v>HH1-RACK-B1-TEST_C1-ACC_SW-01</v>
      </c>
      <c r="C12" s="14" t="b">
        <v>1</v>
      </c>
      <c r="D12" s="15" t="s">
        <v>55</v>
      </c>
      <c r="E12" s="15" t="s">
        <v>61</v>
      </c>
      <c r="F12" s="15" t="s">
        <v>62</v>
      </c>
      <c r="G12" s="14">
        <v>20</v>
      </c>
      <c r="I12" s="15" t="s">
        <v>63</v>
      </c>
    </row>
    <row r="13" spans="1:9">
      <c r="A13" s="15" t="s">
        <v>72</v>
      </c>
      <c r="B13" s="15" t="str">
        <f>tbl_devices!A3</f>
        <v>HH1-RACK-B1-TEST_C1-ACC_SW-01</v>
      </c>
      <c r="C13" s="14" t="b">
        <v>1</v>
      </c>
      <c r="D13" s="15" t="s">
        <v>55</v>
      </c>
      <c r="E13" s="15" t="s">
        <v>61</v>
      </c>
      <c r="F13" s="15" t="s">
        <v>62</v>
      </c>
      <c r="G13" s="14">
        <v>20</v>
      </c>
      <c r="I13" s="15" t="s">
        <v>63</v>
      </c>
    </row>
    <row r="14" spans="1:9">
      <c r="A14" s="15" t="s">
        <v>73</v>
      </c>
      <c r="B14" s="15" t="str">
        <f>tbl_devices!A3</f>
        <v>HH1-RACK-B1-TEST_C1-ACC_SW-01</v>
      </c>
      <c r="C14" s="14" t="b">
        <v>1</v>
      </c>
      <c r="D14" s="15" t="s">
        <v>55</v>
      </c>
      <c r="E14" s="15" t="s">
        <v>61</v>
      </c>
      <c r="F14" s="15" t="s">
        <v>62</v>
      </c>
      <c r="G14" s="14">
        <v>20</v>
      </c>
      <c r="I14" s="15" t="s">
        <v>63</v>
      </c>
    </row>
    <row r="15" spans="1:9">
      <c r="A15" s="15" t="s">
        <v>74</v>
      </c>
      <c r="B15" s="15" t="str">
        <f>tbl_devices!A3</f>
        <v>HH1-RACK-B1-TEST_C1-ACC_SW-01</v>
      </c>
      <c r="C15" s="14" t="b">
        <v>1</v>
      </c>
      <c r="D15" s="15" t="s">
        <v>55</v>
      </c>
      <c r="E15" s="15" t="s">
        <v>61</v>
      </c>
      <c r="F15" s="15" t="s">
        <v>62</v>
      </c>
      <c r="G15" s="14">
        <v>20</v>
      </c>
      <c r="I15" s="15" t="s">
        <v>63</v>
      </c>
    </row>
    <row r="16" spans="1:9">
      <c r="A16" s="15" t="s">
        <v>75</v>
      </c>
      <c r="B16" s="15" t="str">
        <f>tbl_devices!A3</f>
        <v>HH1-RACK-B1-TEST_C1-ACC_SW-01</v>
      </c>
      <c r="C16" s="14" t="b">
        <v>1</v>
      </c>
      <c r="D16" s="15" t="s">
        <v>55</v>
      </c>
      <c r="E16" s="15" t="s">
        <v>61</v>
      </c>
      <c r="F16" s="15" t="s">
        <v>62</v>
      </c>
      <c r="G16" s="14">
        <v>20</v>
      </c>
      <c r="I16" s="15" t="s">
        <v>63</v>
      </c>
    </row>
    <row r="17" spans="1:18">
      <c r="A17" s="15" t="s">
        <v>76</v>
      </c>
      <c r="B17" s="15" t="str">
        <f>tbl_devices!A3</f>
        <v>HH1-RACK-B1-TEST_C1-ACC_SW-01</v>
      </c>
      <c r="C17" s="14" t="b">
        <v>1</v>
      </c>
      <c r="D17" s="15" t="s">
        <v>55</v>
      </c>
      <c r="E17" s="15" t="s">
        <v>61</v>
      </c>
      <c r="F17" s="15" t="s">
        <v>62</v>
      </c>
      <c r="G17" s="14">
        <v>20</v>
      </c>
      <c r="I17" s="15" t="s">
        <v>63</v>
      </c>
    </row>
    <row r="18" spans="1:18">
      <c r="A18" s="15" t="s">
        <v>77</v>
      </c>
      <c r="B18" s="15" t="str">
        <f>tbl_devices!A3</f>
        <v>HH1-RACK-B1-TEST_C1-ACC_SW-01</v>
      </c>
      <c r="C18" s="14" t="b">
        <v>1</v>
      </c>
      <c r="D18" s="15" t="s">
        <v>78</v>
      </c>
      <c r="E18" s="15" t="s">
        <v>79</v>
      </c>
      <c r="F18" s="15" t="s">
        <v>79</v>
      </c>
      <c r="I18" s="15" t="s">
        <v>79</v>
      </c>
    </row>
    <row r="19" spans="1:18">
      <c r="A19" s="15" t="s">
        <v>80</v>
      </c>
      <c r="B19" s="15" t="str">
        <f>tbl_devices!A3</f>
        <v>HH1-RACK-B1-TEST_C1-ACC_SW-01</v>
      </c>
      <c r="C19" s="14" t="b">
        <v>1</v>
      </c>
      <c r="D19" s="15" t="s">
        <v>78</v>
      </c>
      <c r="E19" s="15" t="s">
        <v>79</v>
      </c>
      <c r="F19" s="15" t="s">
        <v>79</v>
      </c>
      <c r="I19" s="15" t="s">
        <v>79</v>
      </c>
    </row>
    <row r="20" spans="1:18">
      <c r="A20" s="15" t="s">
        <v>54</v>
      </c>
      <c r="B20" s="17" t="str">
        <f>tbl_devices!A4</f>
        <v>RACK-CA-H-1-TEST_C1-ACC_SW-01</v>
      </c>
      <c r="C20" s="14" t="b">
        <v>1</v>
      </c>
      <c r="D20" s="15" t="s">
        <v>55</v>
      </c>
      <c r="E20" s="15" t="s">
        <v>56</v>
      </c>
      <c r="F20" s="15" t="s">
        <v>57</v>
      </c>
      <c r="H20" s="16" t="s">
        <v>127</v>
      </c>
      <c r="I20" s="15" t="s">
        <v>59</v>
      </c>
      <c r="R20" s="18"/>
    </row>
    <row r="21" spans="1:18">
      <c r="A21" s="15" t="s">
        <v>58</v>
      </c>
      <c r="B21" s="15" t="str">
        <f>tbl_devices!A4</f>
        <v>RACK-CA-H-1-TEST_C1-ACC_SW-01</v>
      </c>
      <c r="C21" s="14" t="b">
        <v>1</v>
      </c>
      <c r="D21" s="15" t="s">
        <v>55</v>
      </c>
      <c r="E21" s="15" t="s">
        <v>56</v>
      </c>
      <c r="F21" s="15" t="s">
        <v>57</v>
      </c>
      <c r="H21" s="16" t="s">
        <v>127</v>
      </c>
      <c r="I21" s="15" t="s">
        <v>59</v>
      </c>
      <c r="R21" s="19"/>
    </row>
    <row r="22" spans="1:18">
      <c r="A22" s="15" t="s">
        <v>60</v>
      </c>
      <c r="B22" s="15" t="str">
        <f>tbl_devices!A4</f>
        <v>RACK-CA-H-1-TEST_C1-ACC_SW-01</v>
      </c>
      <c r="C22" s="14" t="b">
        <v>1</v>
      </c>
      <c r="D22" s="15" t="s">
        <v>55</v>
      </c>
      <c r="E22" s="15" t="s">
        <v>81</v>
      </c>
      <c r="F22" s="15" t="s">
        <v>57</v>
      </c>
      <c r="H22" s="16" t="s">
        <v>127</v>
      </c>
      <c r="I22" s="15" t="s">
        <v>59</v>
      </c>
      <c r="R22" s="18"/>
    </row>
    <row r="23" spans="1:18">
      <c r="A23" s="15" t="s">
        <v>64</v>
      </c>
      <c r="B23" s="15" t="str">
        <f>tbl_devices!A4</f>
        <v>RACK-CA-H-1-TEST_C1-ACC_SW-01</v>
      </c>
      <c r="C23" s="14" t="b">
        <v>1</v>
      </c>
      <c r="D23" s="15" t="s">
        <v>55</v>
      </c>
      <c r="E23" s="15" t="s">
        <v>81</v>
      </c>
      <c r="F23" s="15" t="s">
        <v>57</v>
      </c>
      <c r="H23" s="16" t="s">
        <v>127</v>
      </c>
      <c r="I23" s="15" t="s">
        <v>59</v>
      </c>
      <c r="R23" s="19"/>
    </row>
    <row r="24" spans="1:18">
      <c r="A24" s="15" t="s">
        <v>65</v>
      </c>
      <c r="B24" s="15" t="str">
        <f>tbl_devices!A4</f>
        <v>RACK-CA-H-1-TEST_C1-ACC_SW-01</v>
      </c>
      <c r="C24" s="14" t="b">
        <v>1</v>
      </c>
      <c r="D24" s="15" t="s">
        <v>55</v>
      </c>
      <c r="E24" s="15" t="s">
        <v>61</v>
      </c>
      <c r="F24" s="15" t="s">
        <v>62</v>
      </c>
      <c r="G24" s="14">
        <v>20</v>
      </c>
      <c r="I24" s="15" t="s">
        <v>63</v>
      </c>
      <c r="R24" s="18"/>
    </row>
    <row r="25" spans="1:18">
      <c r="A25" s="15" t="s">
        <v>66</v>
      </c>
      <c r="B25" s="15" t="str">
        <f>tbl_devices!A4</f>
        <v>RACK-CA-H-1-TEST_C1-ACC_SW-01</v>
      </c>
      <c r="C25" s="14" t="b">
        <v>1</v>
      </c>
      <c r="D25" s="15" t="s">
        <v>55</v>
      </c>
      <c r="E25" s="15" t="s">
        <v>61</v>
      </c>
      <c r="F25" s="15" t="s">
        <v>62</v>
      </c>
      <c r="G25" s="14">
        <v>20</v>
      </c>
      <c r="I25" s="15" t="s">
        <v>63</v>
      </c>
    </row>
    <row r="26" spans="1:18">
      <c r="A26" s="15" t="s">
        <v>67</v>
      </c>
      <c r="B26" s="15" t="str">
        <f>tbl_devices!A4</f>
        <v>RACK-CA-H-1-TEST_C1-ACC_SW-01</v>
      </c>
      <c r="C26" s="14" t="b">
        <v>1</v>
      </c>
      <c r="D26" s="15" t="s">
        <v>55</v>
      </c>
      <c r="E26" s="15" t="s">
        <v>61</v>
      </c>
      <c r="F26" s="15" t="s">
        <v>62</v>
      </c>
      <c r="G26" s="14">
        <v>20</v>
      </c>
      <c r="I26" s="15" t="s">
        <v>63</v>
      </c>
    </row>
    <row r="27" spans="1:18">
      <c r="A27" s="15" t="s">
        <v>68</v>
      </c>
      <c r="B27" s="15" t="str">
        <f>tbl_devices!A4</f>
        <v>RACK-CA-H-1-TEST_C1-ACC_SW-01</v>
      </c>
      <c r="C27" s="14" t="b">
        <v>1</v>
      </c>
      <c r="D27" s="15" t="s">
        <v>55</v>
      </c>
      <c r="E27" s="15" t="s">
        <v>61</v>
      </c>
      <c r="F27" s="15" t="s">
        <v>62</v>
      </c>
      <c r="G27" s="14">
        <v>20</v>
      </c>
      <c r="I27" s="15" t="s">
        <v>63</v>
      </c>
    </row>
    <row r="28" spans="1:18">
      <c r="A28" s="15" t="s">
        <v>69</v>
      </c>
      <c r="B28" s="15" t="str">
        <f>tbl_devices!A4</f>
        <v>RACK-CA-H-1-TEST_C1-ACC_SW-01</v>
      </c>
      <c r="C28" s="14" t="b">
        <v>1</v>
      </c>
      <c r="D28" s="15" t="s">
        <v>55</v>
      </c>
      <c r="E28" s="15" t="s">
        <v>61</v>
      </c>
      <c r="F28" s="15" t="s">
        <v>62</v>
      </c>
      <c r="G28" s="14">
        <v>20</v>
      </c>
      <c r="I28" s="15" t="s">
        <v>63</v>
      </c>
    </row>
    <row r="29" spans="1:18">
      <c r="A29" s="15" t="s">
        <v>70</v>
      </c>
      <c r="B29" s="15" t="str">
        <f>tbl_devices!A4</f>
        <v>RACK-CA-H-1-TEST_C1-ACC_SW-01</v>
      </c>
      <c r="C29" s="14" t="b">
        <v>1</v>
      </c>
      <c r="D29" s="15" t="s">
        <v>55</v>
      </c>
      <c r="E29" s="15" t="s">
        <v>61</v>
      </c>
      <c r="F29" s="15" t="s">
        <v>62</v>
      </c>
      <c r="G29" s="14">
        <v>20</v>
      </c>
      <c r="I29" s="15" t="s">
        <v>63</v>
      </c>
    </row>
    <row r="30" spans="1:18">
      <c r="A30" s="15" t="s">
        <v>71</v>
      </c>
      <c r="B30" s="15" t="str">
        <f>tbl_devices!A4</f>
        <v>RACK-CA-H-1-TEST_C1-ACC_SW-01</v>
      </c>
      <c r="C30" s="14" t="b">
        <v>1</v>
      </c>
      <c r="D30" s="15" t="s">
        <v>55</v>
      </c>
      <c r="E30" s="15" t="s">
        <v>61</v>
      </c>
      <c r="F30" s="15" t="s">
        <v>62</v>
      </c>
      <c r="G30" s="14">
        <v>20</v>
      </c>
      <c r="I30" s="15" t="s">
        <v>63</v>
      </c>
    </row>
    <row r="31" spans="1:18">
      <c r="A31" s="15" t="s">
        <v>72</v>
      </c>
      <c r="B31" s="15" t="str">
        <f>tbl_devices!A4</f>
        <v>RACK-CA-H-1-TEST_C1-ACC_SW-01</v>
      </c>
      <c r="C31" s="14" t="b">
        <v>1</v>
      </c>
      <c r="D31" s="15" t="s">
        <v>55</v>
      </c>
      <c r="E31" s="15" t="s">
        <v>61</v>
      </c>
      <c r="F31" s="15" t="s">
        <v>62</v>
      </c>
      <c r="G31" s="14">
        <v>20</v>
      </c>
      <c r="I31" s="15" t="s">
        <v>63</v>
      </c>
    </row>
    <row r="32" spans="1:18">
      <c r="A32" s="15" t="s">
        <v>73</v>
      </c>
      <c r="B32" s="15" t="str">
        <f>tbl_devices!A4</f>
        <v>RACK-CA-H-1-TEST_C1-ACC_SW-01</v>
      </c>
      <c r="C32" s="14" t="b">
        <v>1</v>
      </c>
      <c r="D32" s="15" t="s">
        <v>55</v>
      </c>
      <c r="E32" s="15" t="s">
        <v>61</v>
      </c>
      <c r="F32" s="15" t="s">
        <v>62</v>
      </c>
      <c r="G32" s="14">
        <v>20</v>
      </c>
      <c r="I32" s="15" t="s">
        <v>63</v>
      </c>
    </row>
    <row r="33" spans="1:9">
      <c r="A33" s="15" t="s">
        <v>74</v>
      </c>
      <c r="B33" s="15" t="str">
        <f>tbl_devices!A4</f>
        <v>RACK-CA-H-1-TEST_C1-ACC_SW-01</v>
      </c>
      <c r="C33" s="14" t="b">
        <v>1</v>
      </c>
      <c r="D33" s="15" t="s">
        <v>55</v>
      </c>
      <c r="E33" s="15" t="s">
        <v>61</v>
      </c>
      <c r="F33" s="15" t="s">
        <v>62</v>
      </c>
      <c r="G33" s="14">
        <v>20</v>
      </c>
      <c r="I33" s="15" t="s">
        <v>63</v>
      </c>
    </row>
    <row r="34" spans="1:9">
      <c r="A34" s="15" t="s">
        <v>75</v>
      </c>
      <c r="B34" s="15" t="str">
        <f>tbl_devices!A4</f>
        <v>RACK-CA-H-1-TEST_C1-ACC_SW-01</v>
      </c>
      <c r="C34" s="14" t="b">
        <v>1</v>
      </c>
      <c r="D34" s="15" t="s">
        <v>55</v>
      </c>
      <c r="E34" s="15" t="s">
        <v>61</v>
      </c>
      <c r="F34" s="15" t="s">
        <v>62</v>
      </c>
      <c r="G34" s="14">
        <v>20</v>
      </c>
      <c r="I34" s="15" t="s">
        <v>63</v>
      </c>
    </row>
    <row r="35" spans="1:9">
      <c r="A35" s="15" t="s">
        <v>76</v>
      </c>
      <c r="B35" s="15" t="str">
        <f>tbl_devices!A4</f>
        <v>RACK-CA-H-1-TEST_C1-ACC_SW-01</v>
      </c>
      <c r="C35" s="14" t="b">
        <v>1</v>
      </c>
      <c r="D35" s="15" t="s">
        <v>55</v>
      </c>
      <c r="E35" s="15" t="s">
        <v>61</v>
      </c>
      <c r="F35" s="15" t="s">
        <v>62</v>
      </c>
      <c r="G35" s="14">
        <v>20</v>
      </c>
      <c r="I35" s="15" t="s">
        <v>63</v>
      </c>
    </row>
    <row r="36" spans="1:9">
      <c r="A36" s="15" t="s">
        <v>77</v>
      </c>
      <c r="B36" s="15" t="str">
        <f>tbl_devices!A4</f>
        <v>RACK-CA-H-1-TEST_C1-ACC_SW-01</v>
      </c>
      <c r="C36" s="14" t="b">
        <v>1</v>
      </c>
      <c r="D36" s="15" t="s">
        <v>78</v>
      </c>
      <c r="E36" s="15" t="s">
        <v>79</v>
      </c>
      <c r="F36" s="15" t="s">
        <v>79</v>
      </c>
      <c r="I36" s="15" t="s">
        <v>79</v>
      </c>
    </row>
    <row r="37" spans="1:9">
      <c r="A37" s="15" t="s">
        <v>80</v>
      </c>
      <c r="B37" s="15" t="str">
        <f>tbl_devices!A4</f>
        <v>RACK-CA-H-1-TEST_C1-ACC_SW-01</v>
      </c>
      <c r="C37" s="14" t="b">
        <v>1</v>
      </c>
      <c r="D37" s="15" t="s">
        <v>78</v>
      </c>
      <c r="E37" s="15" t="s">
        <v>79</v>
      </c>
      <c r="F37" s="15" t="s">
        <v>79</v>
      </c>
      <c r="I37" s="15" t="s">
        <v>79</v>
      </c>
    </row>
    <row r="38" spans="1:9">
      <c r="A38" s="15" t="s">
        <v>54</v>
      </c>
      <c r="B38" s="15" t="str">
        <f>tbl_devices!A5</f>
        <v>RACK-CA-H-1-TEST_C1-ACC_SW-02</v>
      </c>
      <c r="C38" s="14" t="b">
        <v>1</v>
      </c>
      <c r="D38" s="15" t="s">
        <v>55</v>
      </c>
      <c r="E38" s="15" t="s">
        <v>56</v>
      </c>
      <c r="F38" s="15" t="s">
        <v>57</v>
      </c>
      <c r="H38" s="16" t="s">
        <v>127</v>
      </c>
      <c r="I38" s="15" t="s">
        <v>59</v>
      </c>
    </row>
    <row r="39" spans="1:9">
      <c r="A39" s="15" t="s">
        <v>58</v>
      </c>
      <c r="B39" s="15" t="str">
        <f>tbl_devices!A5</f>
        <v>RACK-CA-H-1-TEST_C1-ACC_SW-02</v>
      </c>
      <c r="C39" s="14" t="b">
        <v>1</v>
      </c>
      <c r="D39" s="15" t="s">
        <v>55</v>
      </c>
      <c r="E39" s="15" t="s">
        <v>56</v>
      </c>
      <c r="F39" s="15" t="s">
        <v>57</v>
      </c>
      <c r="H39" s="16" t="s">
        <v>127</v>
      </c>
      <c r="I39" s="15" t="s">
        <v>59</v>
      </c>
    </row>
    <row r="40" spans="1:9">
      <c r="A40" s="15" t="s">
        <v>60</v>
      </c>
      <c r="B40" s="15" t="str">
        <f>tbl_devices!A5</f>
        <v>RACK-CA-H-1-TEST_C1-ACC_SW-02</v>
      </c>
      <c r="C40" s="14" t="b">
        <v>1</v>
      </c>
      <c r="D40" s="15" t="s">
        <v>55</v>
      </c>
      <c r="E40" s="15" t="s">
        <v>61</v>
      </c>
      <c r="F40" s="15" t="s">
        <v>62</v>
      </c>
      <c r="G40" s="14">
        <v>20</v>
      </c>
      <c r="I40" s="15" t="s">
        <v>63</v>
      </c>
    </row>
    <row r="41" spans="1:9">
      <c r="A41" s="15" t="s">
        <v>64</v>
      </c>
      <c r="B41" s="15" t="str">
        <f>tbl_devices!A5</f>
        <v>RACK-CA-H-1-TEST_C1-ACC_SW-02</v>
      </c>
      <c r="C41" s="14" t="b">
        <v>1</v>
      </c>
      <c r="D41" s="15" t="s">
        <v>55</v>
      </c>
      <c r="E41" s="15" t="s">
        <v>61</v>
      </c>
      <c r="F41" s="15" t="s">
        <v>62</v>
      </c>
      <c r="G41" s="14">
        <v>20</v>
      </c>
      <c r="I41" s="15" t="s">
        <v>63</v>
      </c>
    </row>
    <row r="42" spans="1:9">
      <c r="A42" s="15" t="s">
        <v>65</v>
      </c>
      <c r="B42" s="15" t="str">
        <f>tbl_devices!A5</f>
        <v>RACK-CA-H-1-TEST_C1-ACC_SW-02</v>
      </c>
      <c r="C42" s="14" t="b">
        <v>1</v>
      </c>
      <c r="D42" s="15" t="s">
        <v>55</v>
      </c>
      <c r="E42" s="15" t="s">
        <v>61</v>
      </c>
      <c r="F42" s="15" t="s">
        <v>62</v>
      </c>
      <c r="G42" s="14">
        <v>20</v>
      </c>
      <c r="I42" s="15" t="s">
        <v>63</v>
      </c>
    </row>
    <row r="43" spans="1:9">
      <c r="A43" s="15" t="s">
        <v>66</v>
      </c>
      <c r="B43" s="15" t="str">
        <f>tbl_devices!A5</f>
        <v>RACK-CA-H-1-TEST_C1-ACC_SW-02</v>
      </c>
      <c r="C43" s="14" t="b">
        <v>1</v>
      </c>
      <c r="D43" s="15" t="s">
        <v>55</v>
      </c>
      <c r="E43" s="15" t="s">
        <v>61</v>
      </c>
      <c r="F43" s="15" t="s">
        <v>62</v>
      </c>
      <c r="G43" s="14">
        <v>20</v>
      </c>
      <c r="I43" s="15" t="s">
        <v>63</v>
      </c>
    </row>
    <row r="44" spans="1:9">
      <c r="A44" s="15" t="s">
        <v>67</v>
      </c>
      <c r="B44" s="15" t="str">
        <f>tbl_devices!A5</f>
        <v>RACK-CA-H-1-TEST_C1-ACC_SW-02</v>
      </c>
      <c r="C44" s="14" t="b">
        <v>1</v>
      </c>
      <c r="D44" s="15" t="s">
        <v>55</v>
      </c>
      <c r="E44" s="15" t="s">
        <v>61</v>
      </c>
      <c r="F44" s="15" t="s">
        <v>62</v>
      </c>
      <c r="G44" s="14">
        <v>20</v>
      </c>
      <c r="I44" s="15" t="s">
        <v>63</v>
      </c>
    </row>
    <row r="45" spans="1:9">
      <c r="A45" s="15" t="s">
        <v>68</v>
      </c>
      <c r="B45" s="15" t="str">
        <f>tbl_devices!A5</f>
        <v>RACK-CA-H-1-TEST_C1-ACC_SW-02</v>
      </c>
      <c r="C45" s="14" t="b">
        <v>1</v>
      </c>
      <c r="D45" s="15" t="s">
        <v>55</v>
      </c>
      <c r="E45" s="15" t="s">
        <v>61</v>
      </c>
      <c r="F45" s="15" t="s">
        <v>62</v>
      </c>
      <c r="G45" s="14">
        <v>20</v>
      </c>
      <c r="I45" s="15" t="s">
        <v>63</v>
      </c>
    </row>
    <row r="46" spans="1:9">
      <c r="A46" s="15" t="s">
        <v>69</v>
      </c>
      <c r="B46" s="15" t="str">
        <f>tbl_devices!A5</f>
        <v>RACK-CA-H-1-TEST_C1-ACC_SW-02</v>
      </c>
      <c r="C46" s="14" t="b">
        <v>1</v>
      </c>
      <c r="D46" s="15" t="s">
        <v>55</v>
      </c>
      <c r="E46" s="15" t="s">
        <v>61</v>
      </c>
      <c r="F46" s="15" t="s">
        <v>62</v>
      </c>
      <c r="G46" s="14">
        <v>20</v>
      </c>
      <c r="I46" s="15" t="s">
        <v>63</v>
      </c>
    </row>
    <row r="47" spans="1:9">
      <c r="A47" s="15" t="s">
        <v>70</v>
      </c>
      <c r="B47" s="15" t="str">
        <f>tbl_devices!A5</f>
        <v>RACK-CA-H-1-TEST_C1-ACC_SW-02</v>
      </c>
      <c r="C47" s="14" t="b">
        <v>1</v>
      </c>
      <c r="D47" s="15" t="s">
        <v>55</v>
      </c>
      <c r="E47" s="15" t="s">
        <v>61</v>
      </c>
      <c r="F47" s="15" t="s">
        <v>62</v>
      </c>
      <c r="G47" s="14">
        <v>20</v>
      </c>
      <c r="I47" s="15" t="s">
        <v>63</v>
      </c>
    </row>
    <row r="48" spans="1:9">
      <c r="A48" s="15" t="s">
        <v>71</v>
      </c>
      <c r="B48" s="15" t="str">
        <f>tbl_devices!A5</f>
        <v>RACK-CA-H-1-TEST_C1-ACC_SW-02</v>
      </c>
      <c r="C48" s="14" t="b">
        <v>1</v>
      </c>
      <c r="D48" s="15" t="s">
        <v>55</v>
      </c>
      <c r="E48" s="15" t="s">
        <v>61</v>
      </c>
      <c r="F48" s="15" t="s">
        <v>62</v>
      </c>
      <c r="G48" s="14">
        <v>20</v>
      </c>
      <c r="I48" s="15" t="s">
        <v>63</v>
      </c>
    </row>
    <row r="49" spans="1:9">
      <c r="A49" s="15" t="s">
        <v>72</v>
      </c>
      <c r="B49" s="15" t="str">
        <f>tbl_devices!A5</f>
        <v>RACK-CA-H-1-TEST_C1-ACC_SW-02</v>
      </c>
      <c r="C49" s="14" t="b">
        <v>1</v>
      </c>
      <c r="D49" s="15" t="s">
        <v>55</v>
      </c>
      <c r="E49" s="15" t="s">
        <v>61</v>
      </c>
      <c r="F49" s="15" t="s">
        <v>62</v>
      </c>
      <c r="G49" s="14">
        <v>20</v>
      </c>
      <c r="I49" s="15" t="s">
        <v>63</v>
      </c>
    </row>
    <row r="50" spans="1:9">
      <c r="A50" s="15" t="s">
        <v>73</v>
      </c>
      <c r="B50" s="15" t="str">
        <f>tbl_devices!A5</f>
        <v>RACK-CA-H-1-TEST_C1-ACC_SW-02</v>
      </c>
      <c r="C50" s="14" t="b">
        <v>1</v>
      </c>
      <c r="D50" s="15" t="s">
        <v>55</v>
      </c>
      <c r="E50" s="15" t="s">
        <v>61</v>
      </c>
      <c r="F50" s="15" t="s">
        <v>62</v>
      </c>
      <c r="G50" s="14">
        <v>20</v>
      </c>
      <c r="I50" s="15" t="s">
        <v>63</v>
      </c>
    </row>
    <row r="51" spans="1:9">
      <c r="A51" s="15" t="s">
        <v>74</v>
      </c>
      <c r="B51" s="15" t="str">
        <f>tbl_devices!A5</f>
        <v>RACK-CA-H-1-TEST_C1-ACC_SW-02</v>
      </c>
      <c r="C51" s="14" t="b">
        <v>1</v>
      </c>
      <c r="D51" s="15" t="s">
        <v>55</v>
      </c>
      <c r="E51" s="15" t="s">
        <v>61</v>
      </c>
      <c r="F51" s="15" t="s">
        <v>62</v>
      </c>
      <c r="G51" s="14">
        <v>20</v>
      </c>
      <c r="I51" s="15" t="s">
        <v>63</v>
      </c>
    </row>
    <row r="52" spans="1:9">
      <c r="A52" s="15" t="s">
        <v>75</v>
      </c>
      <c r="B52" s="15" t="str">
        <f>tbl_devices!A5</f>
        <v>RACK-CA-H-1-TEST_C1-ACC_SW-02</v>
      </c>
      <c r="C52" s="14" t="b">
        <v>1</v>
      </c>
      <c r="D52" s="15" t="s">
        <v>55</v>
      </c>
      <c r="E52" s="15" t="s">
        <v>61</v>
      </c>
      <c r="F52" s="15" t="s">
        <v>62</v>
      </c>
      <c r="G52" s="14">
        <v>20</v>
      </c>
      <c r="I52" s="15" t="s">
        <v>63</v>
      </c>
    </row>
    <row r="53" spans="1:9">
      <c r="A53" s="15" t="s">
        <v>76</v>
      </c>
      <c r="B53" s="15" t="str">
        <f>tbl_devices!A5</f>
        <v>RACK-CA-H-1-TEST_C1-ACC_SW-02</v>
      </c>
      <c r="C53" s="14" t="b">
        <v>1</v>
      </c>
      <c r="D53" s="15" t="s">
        <v>55</v>
      </c>
      <c r="E53" s="15" t="s">
        <v>61</v>
      </c>
      <c r="F53" s="15" t="s">
        <v>62</v>
      </c>
      <c r="G53" s="14">
        <v>20</v>
      </c>
      <c r="I53" s="15" t="s">
        <v>63</v>
      </c>
    </row>
    <row r="54" spans="1:9">
      <c r="A54" s="15" t="s">
        <v>77</v>
      </c>
      <c r="B54" s="15" t="str">
        <f>tbl_devices!A5</f>
        <v>RACK-CA-H-1-TEST_C1-ACC_SW-02</v>
      </c>
      <c r="C54" s="14" t="b">
        <v>1</v>
      </c>
      <c r="D54" s="15" t="s">
        <v>78</v>
      </c>
      <c r="E54" s="15" t="s">
        <v>79</v>
      </c>
      <c r="F54" s="15" t="s">
        <v>79</v>
      </c>
      <c r="I54" s="15" t="s">
        <v>79</v>
      </c>
    </row>
    <row r="55" spans="1:9">
      <c r="A55" s="15" t="s">
        <v>80</v>
      </c>
      <c r="B55" s="15" t="str">
        <f>tbl_devices!A5</f>
        <v>RACK-CA-H-1-TEST_C1-ACC_SW-02</v>
      </c>
      <c r="C55" s="14" t="b">
        <v>1</v>
      </c>
      <c r="D55" s="15" t="s">
        <v>78</v>
      </c>
      <c r="E55" s="15" t="s">
        <v>79</v>
      </c>
      <c r="F55" s="15" t="s">
        <v>79</v>
      </c>
      <c r="I55" s="15" t="s">
        <v>79</v>
      </c>
    </row>
    <row r="56" spans="1:9">
      <c r="A56" s="15" t="s">
        <v>54</v>
      </c>
      <c r="B56" s="15" t="str">
        <f>tbl_devices!A6</f>
        <v>RACK-CA-H-2-TEST_C1-ACC_SW-01</v>
      </c>
      <c r="C56" s="14" t="b">
        <v>1</v>
      </c>
      <c r="D56" s="15" t="s">
        <v>55</v>
      </c>
      <c r="E56" s="15" t="s">
        <v>56</v>
      </c>
      <c r="F56" s="15" t="s">
        <v>57</v>
      </c>
      <c r="H56" s="16" t="s">
        <v>127</v>
      </c>
      <c r="I56" s="15" t="s">
        <v>59</v>
      </c>
    </row>
    <row r="57" spans="1:9">
      <c r="A57" s="15" t="s">
        <v>58</v>
      </c>
      <c r="B57" s="15" t="str">
        <f>tbl_devices!A6</f>
        <v>RACK-CA-H-2-TEST_C1-ACC_SW-01</v>
      </c>
      <c r="C57" s="14" t="b">
        <v>1</v>
      </c>
      <c r="D57" s="15" t="s">
        <v>55</v>
      </c>
      <c r="E57" s="15" t="s">
        <v>56</v>
      </c>
      <c r="F57" s="15" t="s">
        <v>57</v>
      </c>
      <c r="H57" s="16" t="s">
        <v>127</v>
      </c>
      <c r="I57" s="15" t="s">
        <v>59</v>
      </c>
    </row>
    <row r="58" spans="1:9">
      <c r="A58" s="15" t="s">
        <v>60</v>
      </c>
      <c r="B58" s="15" t="str">
        <f>tbl_devices!A6</f>
        <v>RACK-CA-H-2-TEST_C1-ACC_SW-01</v>
      </c>
      <c r="C58" s="14" t="b">
        <v>1</v>
      </c>
      <c r="D58" s="15" t="s">
        <v>55</v>
      </c>
      <c r="E58" s="15" t="s">
        <v>61</v>
      </c>
      <c r="F58" s="15" t="s">
        <v>62</v>
      </c>
      <c r="G58" s="14">
        <v>20</v>
      </c>
      <c r="I58" s="15" t="s">
        <v>63</v>
      </c>
    </row>
    <row r="59" spans="1:9">
      <c r="A59" s="15" t="s">
        <v>64</v>
      </c>
      <c r="B59" s="15" t="str">
        <f>tbl_devices!A6</f>
        <v>RACK-CA-H-2-TEST_C1-ACC_SW-01</v>
      </c>
      <c r="C59" s="14" t="b">
        <v>1</v>
      </c>
      <c r="D59" s="15" t="s">
        <v>55</v>
      </c>
      <c r="E59" s="15" t="s">
        <v>61</v>
      </c>
      <c r="F59" s="15" t="s">
        <v>62</v>
      </c>
      <c r="G59" s="14">
        <v>20</v>
      </c>
      <c r="I59" s="15" t="s">
        <v>63</v>
      </c>
    </row>
    <row r="60" spans="1:9">
      <c r="A60" s="15" t="s">
        <v>65</v>
      </c>
      <c r="B60" s="15" t="str">
        <f>tbl_devices!A6</f>
        <v>RACK-CA-H-2-TEST_C1-ACC_SW-01</v>
      </c>
      <c r="C60" s="14" t="b">
        <v>1</v>
      </c>
      <c r="D60" s="15" t="s">
        <v>55</v>
      </c>
      <c r="E60" s="15" t="s">
        <v>61</v>
      </c>
      <c r="F60" s="15" t="s">
        <v>62</v>
      </c>
      <c r="G60" s="14">
        <v>20</v>
      </c>
      <c r="I60" s="15" t="s">
        <v>63</v>
      </c>
    </row>
    <row r="61" spans="1:9">
      <c r="A61" s="15" t="s">
        <v>66</v>
      </c>
      <c r="B61" s="15" t="str">
        <f>tbl_devices!A6</f>
        <v>RACK-CA-H-2-TEST_C1-ACC_SW-01</v>
      </c>
      <c r="C61" s="14" t="b">
        <v>1</v>
      </c>
      <c r="D61" s="15" t="s">
        <v>55</v>
      </c>
      <c r="E61" s="15" t="s">
        <v>61</v>
      </c>
      <c r="F61" s="15" t="s">
        <v>62</v>
      </c>
      <c r="G61" s="14">
        <v>20</v>
      </c>
      <c r="I61" s="15" t="s">
        <v>63</v>
      </c>
    </row>
    <row r="62" spans="1:9">
      <c r="A62" s="15" t="s">
        <v>67</v>
      </c>
      <c r="B62" s="15" t="str">
        <f>tbl_devices!A6</f>
        <v>RACK-CA-H-2-TEST_C1-ACC_SW-01</v>
      </c>
      <c r="C62" s="14" t="b">
        <v>1</v>
      </c>
      <c r="D62" s="15" t="s">
        <v>55</v>
      </c>
      <c r="E62" s="15" t="s">
        <v>61</v>
      </c>
      <c r="F62" s="15" t="s">
        <v>62</v>
      </c>
      <c r="G62" s="14">
        <v>20</v>
      </c>
      <c r="I62" s="15" t="s">
        <v>63</v>
      </c>
    </row>
    <row r="63" spans="1:9">
      <c r="A63" s="15" t="s">
        <v>68</v>
      </c>
      <c r="B63" s="15" t="str">
        <f>tbl_devices!A6</f>
        <v>RACK-CA-H-2-TEST_C1-ACC_SW-01</v>
      </c>
      <c r="C63" s="14" t="b">
        <v>1</v>
      </c>
      <c r="D63" s="15" t="s">
        <v>55</v>
      </c>
      <c r="E63" s="15" t="s">
        <v>61</v>
      </c>
      <c r="F63" s="15" t="s">
        <v>62</v>
      </c>
      <c r="G63" s="14">
        <v>20</v>
      </c>
      <c r="I63" s="15" t="s">
        <v>63</v>
      </c>
    </row>
    <row r="64" spans="1:9">
      <c r="A64" s="15" t="s">
        <v>69</v>
      </c>
      <c r="B64" s="15" t="str">
        <f>tbl_devices!A6</f>
        <v>RACK-CA-H-2-TEST_C1-ACC_SW-01</v>
      </c>
      <c r="C64" s="14" t="b">
        <v>1</v>
      </c>
      <c r="D64" s="15" t="s">
        <v>55</v>
      </c>
      <c r="E64" s="15" t="s">
        <v>61</v>
      </c>
      <c r="F64" s="15" t="s">
        <v>62</v>
      </c>
      <c r="G64" s="14">
        <v>20</v>
      </c>
      <c r="I64" s="15" t="s">
        <v>63</v>
      </c>
    </row>
    <row r="65" spans="1:9">
      <c r="A65" s="15" t="s">
        <v>70</v>
      </c>
      <c r="B65" s="15" t="str">
        <f>tbl_devices!A6</f>
        <v>RACK-CA-H-2-TEST_C1-ACC_SW-01</v>
      </c>
      <c r="C65" s="14" t="b">
        <v>1</v>
      </c>
      <c r="D65" s="15" t="s">
        <v>55</v>
      </c>
      <c r="E65" s="15" t="s">
        <v>61</v>
      </c>
      <c r="F65" s="15" t="s">
        <v>62</v>
      </c>
      <c r="G65" s="14">
        <v>20</v>
      </c>
      <c r="I65" s="15" t="s">
        <v>63</v>
      </c>
    </row>
    <row r="66" spans="1:9">
      <c r="A66" s="15" t="s">
        <v>71</v>
      </c>
      <c r="B66" s="15" t="str">
        <f>tbl_devices!A6</f>
        <v>RACK-CA-H-2-TEST_C1-ACC_SW-01</v>
      </c>
      <c r="C66" s="14" t="b">
        <v>1</v>
      </c>
      <c r="D66" s="15" t="s">
        <v>55</v>
      </c>
      <c r="E66" s="15" t="s">
        <v>61</v>
      </c>
      <c r="F66" s="15" t="s">
        <v>62</v>
      </c>
      <c r="G66" s="14">
        <v>20</v>
      </c>
      <c r="I66" s="15" t="s">
        <v>63</v>
      </c>
    </row>
    <row r="67" spans="1:9">
      <c r="A67" s="15" t="s">
        <v>72</v>
      </c>
      <c r="B67" s="15" t="str">
        <f>tbl_devices!A6</f>
        <v>RACK-CA-H-2-TEST_C1-ACC_SW-01</v>
      </c>
      <c r="C67" s="14" t="b">
        <v>1</v>
      </c>
      <c r="D67" s="15" t="s">
        <v>55</v>
      </c>
      <c r="E67" s="15" t="s">
        <v>61</v>
      </c>
      <c r="F67" s="15" t="s">
        <v>62</v>
      </c>
      <c r="G67" s="14">
        <v>20</v>
      </c>
      <c r="I67" s="15" t="s">
        <v>63</v>
      </c>
    </row>
    <row r="68" spans="1:9">
      <c r="A68" s="15" t="s">
        <v>73</v>
      </c>
      <c r="B68" s="15" t="str">
        <f>tbl_devices!A6</f>
        <v>RACK-CA-H-2-TEST_C1-ACC_SW-01</v>
      </c>
      <c r="C68" s="14" t="b">
        <v>1</v>
      </c>
      <c r="D68" s="15" t="s">
        <v>55</v>
      </c>
      <c r="E68" s="15" t="s">
        <v>61</v>
      </c>
      <c r="F68" s="15" t="s">
        <v>62</v>
      </c>
      <c r="G68" s="14">
        <v>20</v>
      </c>
      <c r="I68" s="15" t="s">
        <v>63</v>
      </c>
    </row>
    <row r="69" spans="1:9">
      <c r="A69" s="15" t="s">
        <v>74</v>
      </c>
      <c r="B69" s="15" t="str">
        <f>tbl_devices!A6</f>
        <v>RACK-CA-H-2-TEST_C1-ACC_SW-01</v>
      </c>
      <c r="C69" s="14" t="b">
        <v>1</v>
      </c>
      <c r="D69" s="15" t="s">
        <v>55</v>
      </c>
      <c r="E69" s="15" t="s">
        <v>61</v>
      </c>
      <c r="F69" s="15" t="s">
        <v>62</v>
      </c>
      <c r="G69" s="14">
        <v>20</v>
      </c>
      <c r="I69" s="15" t="s">
        <v>63</v>
      </c>
    </row>
    <row r="70" spans="1:9">
      <c r="A70" s="15" t="s">
        <v>75</v>
      </c>
      <c r="B70" s="15" t="str">
        <f>tbl_devices!A6</f>
        <v>RACK-CA-H-2-TEST_C1-ACC_SW-01</v>
      </c>
      <c r="C70" s="14" t="b">
        <v>1</v>
      </c>
      <c r="D70" s="15" t="s">
        <v>55</v>
      </c>
      <c r="E70" s="15" t="s">
        <v>61</v>
      </c>
      <c r="F70" s="15" t="s">
        <v>62</v>
      </c>
      <c r="G70" s="14">
        <v>20</v>
      </c>
      <c r="I70" s="15" t="s">
        <v>63</v>
      </c>
    </row>
    <row r="71" spans="1:9">
      <c r="A71" s="15" t="s">
        <v>76</v>
      </c>
      <c r="B71" s="15" t="str">
        <f>tbl_devices!A6</f>
        <v>RACK-CA-H-2-TEST_C1-ACC_SW-01</v>
      </c>
      <c r="C71" s="14" t="b">
        <v>1</v>
      </c>
      <c r="D71" s="15" t="s">
        <v>55</v>
      </c>
      <c r="E71" s="15" t="s">
        <v>61</v>
      </c>
      <c r="F71" s="15" t="s">
        <v>62</v>
      </c>
      <c r="G71" s="14">
        <v>20</v>
      </c>
      <c r="I71" s="15" t="s">
        <v>63</v>
      </c>
    </row>
    <row r="72" spans="1:9">
      <c r="A72" s="15" t="s">
        <v>77</v>
      </c>
      <c r="B72" s="15" t="str">
        <f>tbl_devices!A6</f>
        <v>RACK-CA-H-2-TEST_C1-ACC_SW-01</v>
      </c>
      <c r="C72" s="14" t="b">
        <v>1</v>
      </c>
      <c r="D72" s="15" t="s">
        <v>78</v>
      </c>
      <c r="E72" s="15" t="s">
        <v>79</v>
      </c>
      <c r="F72" s="15" t="s">
        <v>79</v>
      </c>
      <c r="I72" s="15" t="s">
        <v>79</v>
      </c>
    </row>
    <row r="73" spans="1:9">
      <c r="A73" s="15" t="s">
        <v>80</v>
      </c>
      <c r="B73" s="15" t="str">
        <f>tbl_devices!A6</f>
        <v>RACK-CA-H-2-TEST_C1-ACC_SW-01</v>
      </c>
      <c r="C73" s="14" t="b">
        <v>1</v>
      </c>
      <c r="D73" s="15" t="s">
        <v>78</v>
      </c>
      <c r="E73" s="15" t="s">
        <v>79</v>
      </c>
      <c r="F73" s="15" t="s">
        <v>79</v>
      </c>
      <c r="I73" s="15" t="s">
        <v>79</v>
      </c>
    </row>
    <row r="74" spans="1:9">
      <c r="A74" s="15" t="s">
        <v>54</v>
      </c>
      <c r="B74" s="15" t="str">
        <f>tbl_devices!A7</f>
        <v>HH1-RACK-T5-TEST_C1-ACC_SW-01</v>
      </c>
      <c r="C74" s="14" t="b">
        <v>1</v>
      </c>
      <c r="D74" s="15" t="s">
        <v>55</v>
      </c>
      <c r="E74" s="15" t="s">
        <v>56</v>
      </c>
      <c r="F74" s="15" t="s">
        <v>57</v>
      </c>
      <c r="H74" s="16" t="s">
        <v>127</v>
      </c>
      <c r="I74" s="15" t="s">
        <v>59</v>
      </c>
    </row>
    <row r="75" spans="1:9">
      <c r="A75" s="15" t="s">
        <v>58</v>
      </c>
      <c r="B75" s="15" t="str">
        <f>tbl_devices!A7</f>
        <v>HH1-RACK-T5-TEST_C1-ACC_SW-01</v>
      </c>
      <c r="C75" s="14" t="b">
        <v>1</v>
      </c>
      <c r="D75" s="15" t="s">
        <v>55</v>
      </c>
      <c r="E75" s="15" t="s">
        <v>56</v>
      </c>
      <c r="F75" s="15" t="s">
        <v>57</v>
      </c>
      <c r="H75" s="16" t="s">
        <v>127</v>
      </c>
      <c r="I75" s="15" t="s">
        <v>59</v>
      </c>
    </row>
    <row r="76" spans="1:9">
      <c r="A76" s="15" t="s">
        <v>60</v>
      </c>
      <c r="B76" s="15" t="str">
        <f>tbl_devices!A7</f>
        <v>HH1-RACK-T5-TEST_C1-ACC_SW-01</v>
      </c>
      <c r="C76" s="14" t="b">
        <v>1</v>
      </c>
      <c r="D76" s="15" t="s">
        <v>55</v>
      </c>
      <c r="E76" s="15" t="s">
        <v>61</v>
      </c>
      <c r="F76" s="15" t="s">
        <v>62</v>
      </c>
      <c r="G76" s="14">
        <v>20</v>
      </c>
      <c r="I76" s="15" t="s">
        <v>63</v>
      </c>
    </row>
    <row r="77" spans="1:9">
      <c r="A77" s="15" t="s">
        <v>64</v>
      </c>
      <c r="B77" s="15" t="str">
        <f>tbl_devices!A7</f>
        <v>HH1-RACK-T5-TEST_C1-ACC_SW-01</v>
      </c>
      <c r="C77" s="14" t="b">
        <v>1</v>
      </c>
      <c r="D77" s="15" t="s">
        <v>55</v>
      </c>
      <c r="E77" s="15" t="s">
        <v>61</v>
      </c>
      <c r="F77" s="15" t="s">
        <v>62</v>
      </c>
      <c r="G77" s="14">
        <v>20</v>
      </c>
      <c r="I77" s="15" t="s">
        <v>63</v>
      </c>
    </row>
    <row r="78" spans="1:9">
      <c r="A78" s="15" t="s">
        <v>65</v>
      </c>
      <c r="B78" s="15" t="str">
        <f>tbl_devices!A7</f>
        <v>HH1-RACK-T5-TEST_C1-ACC_SW-01</v>
      </c>
      <c r="C78" s="14" t="b">
        <v>1</v>
      </c>
      <c r="D78" s="15" t="s">
        <v>55</v>
      </c>
      <c r="E78" s="15" t="s">
        <v>61</v>
      </c>
      <c r="F78" s="15" t="s">
        <v>62</v>
      </c>
      <c r="G78" s="14">
        <v>20</v>
      </c>
      <c r="I78" s="15" t="s">
        <v>63</v>
      </c>
    </row>
    <row r="79" spans="1:9">
      <c r="A79" s="15" t="s">
        <v>66</v>
      </c>
      <c r="B79" s="15" t="str">
        <f>tbl_devices!A7</f>
        <v>HH1-RACK-T5-TEST_C1-ACC_SW-01</v>
      </c>
      <c r="C79" s="14" t="b">
        <v>1</v>
      </c>
      <c r="D79" s="15" t="s">
        <v>55</v>
      </c>
      <c r="E79" s="15" t="s">
        <v>61</v>
      </c>
      <c r="F79" s="15" t="s">
        <v>62</v>
      </c>
      <c r="G79" s="14">
        <v>20</v>
      </c>
      <c r="I79" s="15" t="s">
        <v>63</v>
      </c>
    </row>
    <row r="80" spans="1:9">
      <c r="A80" s="15" t="s">
        <v>67</v>
      </c>
      <c r="B80" s="15" t="str">
        <f>tbl_devices!A7</f>
        <v>HH1-RACK-T5-TEST_C1-ACC_SW-01</v>
      </c>
      <c r="C80" s="14" t="b">
        <v>1</v>
      </c>
      <c r="D80" s="15" t="s">
        <v>55</v>
      </c>
      <c r="E80" s="15" t="s">
        <v>61</v>
      </c>
      <c r="F80" s="15" t="s">
        <v>62</v>
      </c>
      <c r="G80" s="14">
        <v>20</v>
      </c>
      <c r="I80" s="15" t="s">
        <v>63</v>
      </c>
    </row>
    <row r="81" spans="1:9">
      <c r="A81" s="15" t="s">
        <v>68</v>
      </c>
      <c r="B81" s="15" t="str">
        <f>tbl_devices!A7</f>
        <v>HH1-RACK-T5-TEST_C1-ACC_SW-01</v>
      </c>
      <c r="C81" s="14" t="b">
        <v>1</v>
      </c>
      <c r="D81" s="15" t="s">
        <v>55</v>
      </c>
      <c r="E81" s="15" t="s">
        <v>61</v>
      </c>
      <c r="F81" s="15" t="s">
        <v>62</v>
      </c>
      <c r="G81" s="14">
        <v>20</v>
      </c>
      <c r="I81" s="15" t="s">
        <v>63</v>
      </c>
    </row>
    <row r="82" spans="1:9">
      <c r="A82" s="15" t="s">
        <v>69</v>
      </c>
      <c r="B82" s="15" t="str">
        <f>tbl_devices!A7</f>
        <v>HH1-RACK-T5-TEST_C1-ACC_SW-01</v>
      </c>
      <c r="C82" s="14" t="b">
        <v>1</v>
      </c>
      <c r="D82" s="15" t="s">
        <v>55</v>
      </c>
      <c r="E82" s="15" t="s">
        <v>61</v>
      </c>
      <c r="F82" s="15" t="s">
        <v>62</v>
      </c>
      <c r="G82" s="14">
        <v>20</v>
      </c>
      <c r="I82" s="15" t="s">
        <v>63</v>
      </c>
    </row>
    <row r="83" spans="1:9">
      <c r="A83" s="15" t="s">
        <v>70</v>
      </c>
      <c r="B83" s="15" t="str">
        <f>tbl_devices!A7</f>
        <v>HH1-RACK-T5-TEST_C1-ACC_SW-01</v>
      </c>
      <c r="C83" s="14" t="b">
        <v>1</v>
      </c>
      <c r="D83" s="15" t="s">
        <v>55</v>
      </c>
      <c r="E83" s="15" t="s">
        <v>61</v>
      </c>
      <c r="F83" s="15" t="s">
        <v>62</v>
      </c>
      <c r="G83" s="14">
        <v>20</v>
      </c>
      <c r="I83" s="15" t="s">
        <v>63</v>
      </c>
    </row>
    <row r="84" spans="1:9">
      <c r="A84" s="15" t="s">
        <v>71</v>
      </c>
      <c r="B84" s="15" t="str">
        <f>tbl_devices!A7</f>
        <v>HH1-RACK-T5-TEST_C1-ACC_SW-01</v>
      </c>
      <c r="C84" s="14" t="b">
        <v>1</v>
      </c>
      <c r="D84" s="15" t="s">
        <v>55</v>
      </c>
      <c r="E84" s="15" t="s">
        <v>61</v>
      </c>
      <c r="F84" s="15" t="s">
        <v>62</v>
      </c>
      <c r="G84" s="14">
        <v>20</v>
      </c>
      <c r="I84" s="15" t="s">
        <v>63</v>
      </c>
    </row>
    <row r="85" spans="1:9">
      <c r="A85" s="15" t="s">
        <v>72</v>
      </c>
      <c r="B85" s="15" t="str">
        <f>tbl_devices!A7</f>
        <v>HH1-RACK-T5-TEST_C1-ACC_SW-01</v>
      </c>
      <c r="C85" s="14" t="b">
        <v>1</v>
      </c>
      <c r="D85" s="15" t="s">
        <v>55</v>
      </c>
      <c r="E85" s="15" t="s">
        <v>61</v>
      </c>
      <c r="F85" s="15" t="s">
        <v>62</v>
      </c>
      <c r="G85" s="14">
        <v>20</v>
      </c>
      <c r="I85" s="15" t="s">
        <v>63</v>
      </c>
    </row>
    <row r="86" spans="1:9">
      <c r="A86" s="15" t="s">
        <v>73</v>
      </c>
      <c r="B86" s="15" t="str">
        <f>tbl_devices!A7</f>
        <v>HH1-RACK-T5-TEST_C1-ACC_SW-01</v>
      </c>
      <c r="C86" s="14" t="b">
        <v>1</v>
      </c>
      <c r="D86" s="15" t="s">
        <v>55</v>
      </c>
      <c r="E86" s="15" t="s">
        <v>61</v>
      </c>
      <c r="F86" s="15" t="s">
        <v>62</v>
      </c>
      <c r="G86" s="14">
        <v>20</v>
      </c>
      <c r="I86" s="15" t="s">
        <v>63</v>
      </c>
    </row>
    <row r="87" spans="1:9">
      <c r="A87" s="15" t="s">
        <v>74</v>
      </c>
      <c r="B87" s="15" t="str">
        <f>tbl_devices!A7</f>
        <v>HH1-RACK-T5-TEST_C1-ACC_SW-01</v>
      </c>
      <c r="C87" s="14" t="b">
        <v>1</v>
      </c>
      <c r="D87" s="15" t="s">
        <v>55</v>
      </c>
      <c r="E87" s="15" t="s">
        <v>61</v>
      </c>
      <c r="F87" s="15" t="s">
        <v>62</v>
      </c>
      <c r="G87" s="14">
        <v>20</v>
      </c>
      <c r="I87" s="15" t="s">
        <v>63</v>
      </c>
    </row>
    <row r="88" spans="1:9">
      <c r="A88" s="15" t="s">
        <v>75</v>
      </c>
      <c r="B88" s="15" t="str">
        <f>tbl_devices!A7</f>
        <v>HH1-RACK-T5-TEST_C1-ACC_SW-01</v>
      </c>
      <c r="C88" s="14" t="b">
        <v>1</v>
      </c>
      <c r="D88" s="15" t="s">
        <v>55</v>
      </c>
      <c r="E88" s="15" t="s">
        <v>61</v>
      </c>
      <c r="F88" s="15" t="s">
        <v>62</v>
      </c>
      <c r="G88" s="14">
        <v>20</v>
      </c>
      <c r="I88" s="15" t="s">
        <v>63</v>
      </c>
    </row>
    <row r="89" spans="1:9">
      <c r="A89" s="15" t="s">
        <v>76</v>
      </c>
      <c r="B89" s="15" t="str">
        <f>tbl_devices!A7</f>
        <v>HH1-RACK-T5-TEST_C1-ACC_SW-01</v>
      </c>
      <c r="C89" s="14" t="b">
        <v>1</v>
      </c>
      <c r="D89" s="15" t="s">
        <v>55</v>
      </c>
      <c r="E89" s="15" t="s">
        <v>61</v>
      </c>
      <c r="F89" s="15" t="s">
        <v>62</v>
      </c>
      <c r="G89" s="14">
        <v>20</v>
      </c>
      <c r="I89" s="15" t="s">
        <v>63</v>
      </c>
    </row>
    <row r="90" spans="1:9">
      <c r="A90" s="15" t="s">
        <v>77</v>
      </c>
      <c r="B90" s="15" t="str">
        <f>tbl_devices!A7</f>
        <v>HH1-RACK-T5-TEST_C1-ACC_SW-01</v>
      </c>
      <c r="C90" s="14" t="b">
        <v>1</v>
      </c>
      <c r="D90" s="15" t="s">
        <v>78</v>
      </c>
      <c r="E90" s="15" t="s">
        <v>79</v>
      </c>
      <c r="F90" s="15" t="s">
        <v>79</v>
      </c>
      <c r="I90" s="15" t="s">
        <v>79</v>
      </c>
    </row>
    <row r="91" spans="1:9">
      <c r="A91" s="15" t="s">
        <v>80</v>
      </c>
      <c r="B91" s="15" t="str">
        <f>tbl_devices!A7</f>
        <v>HH1-RACK-T5-TEST_C1-ACC_SW-01</v>
      </c>
      <c r="C91" s="14" t="b">
        <v>1</v>
      </c>
      <c r="D91" s="15" t="s">
        <v>78</v>
      </c>
      <c r="E91" s="15" t="s">
        <v>79</v>
      </c>
      <c r="F91" s="15" t="s">
        <v>79</v>
      </c>
      <c r="I91" s="15" t="s">
        <v>79</v>
      </c>
    </row>
    <row r="92" spans="1:9">
      <c r="A92" s="15" t="s">
        <v>54</v>
      </c>
      <c r="B92" s="15" t="str">
        <f>tbl_devices!A8</f>
        <v>HH1-RACK-T10-TEST_C1-ACC_SW-01</v>
      </c>
      <c r="C92" s="14" t="b">
        <v>1</v>
      </c>
      <c r="D92" s="15" t="s">
        <v>55</v>
      </c>
      <c r="E92" s="15" t="s">
        <v>56</v>
      </c>
      <c r="F92" s="15" t="s">
        <v>57</v>
      </c>
      <c r="H92" s="16" t="s">
        <v>127</v>
      </c>
      <c r="I92" s="15" t="s">
        <v>59</v>
      </c>
    </row>
    <row r="93" spans="1:9">
      <c r="A93" s="15" t="s">
        <v>58</v>
      </c>
      <c r="B93" s="15" t="str">
        <f>tbl_devices!A8</f>
        <v>HH1-RACK-T10-TEST_C1-ACC_SW-01</v>
      </c>
      <c r="C93" s="14" t="b">
        <v>1</v>
      </c>
      <c r="D93" s="15" t="s">
        <v>55</v>
      </c>
      <c r="E93" s="15" t="s">
        <v>56</v>
      </c>
      <c r="F93" s="15" t="s">
        <v>57</v>
      </c>
      <c r="H93" s="16" t="s">
        <v>127</v>
      </c>
      <c r="I93" s="15" t="s">
        <v>59</v>
      </c>
    </row>
    <row r="94" spans="1:9">
      <c r="A94" s="15" t="s">
        <v>60</v>
      </c>
      <c r="B94" s="15" t="str">
        <f>tbl_devices!A8</f>
        <v>HH1-RACK-T10-TEST_C1-ACC_SW-01</v>
      </c>
      <c r="C94" s="14" t="b">
        <v>1</v>
      </c>
      <c r="D94" s="15" t="s">
        <v>55</v>
      </c>
      <c r="E94" s="15" t="s">
        <v>61</v>
      </c>
      <c r="F94" s="15" t="s">
        <v>62</v>
      </c>
      <c r="G94" s="14">
        <v>20</v>
      </c>
      <c r="I94" s="15" t="s">
        <v>63</v>
      </c>
    </row>
    <row r="95" spans="1:9">
      <c r="A95" s="15" t="s">
        <v>64</v>
      </c>
      <c r="B95" s="15" t="str">
        <f>tbl_devices!A8</f>
        <v>HH1-RACK-T10-TEST_C1-ACC_SW-01</v>
      </c>
      <c r="C95" s="14" t="b">
        <v>1</v>
      </c>
      <c r="D95" s="15" t="s">
        <v>55</v>
      </c>
      <c r="E95" s="15" t="s">
        <v>61</v>
      </c>
      <c r="F95" s="15" t="s">
        <v>62</v>
      </c>
      <c r="G95" s="14">
        <v>20</v>
      </c>
      <c r="I95" s="15" t="s">
        <v>63</v>
      </c>
    </row>
    <row r="96" spans="1:9">
      <c r="A96" s="15" t="s">
        <v>65</v>
      </c>
      <c r="B96" s="15" t="str">
        <f>tbl_devices!A8</f>
        <v>HH1-RACK-T10-TEST_C1-ACC_SW-01</v>
      </c>
      <c r="C96" s="14" t="b">
        <v>1</v>
      </c>
      <c r="D96" s="15" t="s">
        <v>55</v>
      </c>
      <c r="E96" s="15" t="s">
        <v>61</v>
      </c>
      <c r="F96" s="15" t="s">
        <v>62</v>
      </c>
      <c r="G96" s="14">
        <v>20</v>
      </c>
      <c r="I96" s="15" t="s">
        <v>63</v>
      </c>
    </row>
    <row r="97" spans="1:9">
      <c r="A97" s="15" t="s">
        <v>66</v>
      </c>
      <c r="B97" s="15" t="str">
        <f>tbl_devices!A8</f>
        <v>HH1-RACK-T10-TEST_C1-ACC_SW-01</v>
      </c>
      <c r="C97" s="14" t="b">
        <v>1</v>
      </c>
      <c r="D97" s="15" t="s">
        <v>55</v>
      </c>
      <c r="E97" s="15" t="s">
        <v>61</v>
      </c>
      <c r="F97" s="15" t="s">
        <v>62</v>
      </c>
      <c r="G97" s="14">
        <v>20</v>
      </c>
      <c r="I97" s="15" t="s">
        <v>63</v>
      </c>
    </row>
    <row r="98" spans="1:9">
      <c r="A98" s="15" t="s">
        <v>67</v>
      </c>
      <c r="B98" s="15" t="str">
        <f>tbl_devices!A8</f>
        <v>HH1-RACK-T10-TEST_C1-ACC_SW-01</v>
      </c>
      <c r="C98" s="14" t="b">
        <v>1</v>
      </c>
      <c r="D98" s="15" t="s">
        <v>55</v>
      </c>
      <c r="E98" s="15" t="s">
        <v>61</v>
      </c>
      <c r="F98" s="15" t="s">
        <v>62</v>
      </c>
      <c r="G98" s="14">
        <v>20</v>
      </c>
      <c r="I98" s="15" t="s">
        <v>63</v>
      </c>
    </row>
    <row r="99" spans="1:9">
      <c r="A99" s="15" t="s">
        <v>68</v>
      </c>
      <c r="B99" s="15" t="str">
        <f>tbl_devices!A8</f>
        <v>HH1-RACK-T10-TEST_C1-ACC_SW-01</v>
      </c>
      <c r="C99" s="14" t="b">
        <v>1</v>
      </c>
      <c r="D99" s="15" t="s">
        <v>55</v>
      </c>
      <c r="E99" s="15" t="s">
        <v>61</v>
      </c>
      <c r="F99" s="15" t="s">
        <v>62</v>
      </c>
      <c r="G99" s="14">
        <v>20</v>
      </c>
      <c r="I99" s="15" t="s">
        <v>63</v>
      </c>
    </row>
    <row r="100" spans="1:9">
      <c r="A100" s="15" t="s">
        <v>69</v>
      </c>
      <c r="B100" s="15" t="str">
        <f>tbl_devices!A8</f>
        <v>HH1-RACK-T10-TEST_C1-ACC_SW-01</v>
      </c>
      <c r="C100" s="14" t="b">
        <v>1</v>
      </c>
      <c r="D100" s="15" t="s">
        <v>55</v>
      </c>
      <c r="E100" s="15" t="s">
        <v>61</v>
      </c>
      <c r="F100" s="15" t="s">
        <v>62</v>
      </c>
      <c r="G100" s="14">
        <v>20</v>
      </c>
      <c r="I100" s="15" t="s">
        <v>63</v>
      </c>
    </row>
    <row r="101" spans="1:9">
      <c r="A101" s="15" t="s">
        <v>70</v>
      </c>
      <c r="B101" s="15" t="str">
        <f>tbl_devices!A8</f>
        <v>HH1-RACK-T10-TEST_C1-ACC_SW-01</v>
      </c>
      <c r="C101" s="14" t="b">
        <v>1</v>
      </c>
      <c r="D101" s="15" t="s">
        <v>55</v>
      </c>
      <c r="E101" s="15" t="s">
        <v>61</v>
      </c>
      <c r="F101" s="15" t="s">
        <v>62</v>
      </c>
      <c r="G101" s="14">
        <v>20</v>
      </c>
      <c r="I101" s="15" t="s">
        <v>63</v>
      </c>
    </row>
    <row r="102" spans="1:9">
      <c r="A102" s="15" t="s">
        <v>71</v>
      </c>
      <c r="B102" s="15" t="str">
        <f>tbl_devices!A8</f>
        <v>HH1-RACK-T10-TEST_C1-ACC_SW-01</v>
      </c>
      <c r="C102" s="14" t="b">
        <v>1</v>
      </c>
      <c r="D102" s="15" t="s">
        <v>55</v>
      </c>
      <c r="E102" s="15" t="s">
        <v>61</v>
      </c>
      <c r="F102" s="15" t="s">
        <v>62</v>
      </c>
      <c r="G102" s="14">
        <v>20</v>
      </c>
      <c r="I102" s="15" t="s">
        <v>63</v>
      </c>
    </row>
    <row r="103" spans="1:9">
      <c r="A103" s="15" t="s">
        <v>72</v>
      </c>
      <c r="B103" s="15" t="str">
        <f>tbl_devices!A8</f>
        <v>HH1-RACK-T10-TEST_C1-ACC_SW-01</v>
      </c>
      <c r="C103" s="14" t="b">
        <v>1</v>
      </c>
      <c r="D103" s="15" t="s">
        <v>55</v>
      </c>
      <c r="E103" s="15" t="s">
        <v>61</v>
      </c>
      <c r="F103" s="15" t="s">
        <v>62</v>
      </c>
      <c r="G103" s="14">
        <v>20</v>
      </c>
      <c r="I103" s="15" t="s">
        <v>63</v>
      </c>
    </row>
    <row r="104" spans="1:9">
      <c r="A104" s="15" t="s">
        <v>73</v>
      </c>
      <c r="B104" s="15" t="str">
        <f>tbl_devices!A8</f>
        <v>HH1-RACK-T10-TEST_C1-ACC_SW-01</v>
      </c>
      <c r="C104" s="14" t="b">
        <v>1</v>
      </c>
      <c r="D104" s="15" t="s">
        <v>55</v>
      </c>
      <c r="E104" s="15" t="s">
        <v>61</v>
      </c>
      <c r="F104" s="15" t="s">
        <v>62</v>
      </c>
      <c r="G104" s="14">
        <v>20</v>
      </c>
      <c r="I104" s="15" t="s">
        <v>63</v>
      </c>
    </row>
    <row r="105" spans="1:9">
      <c r="A105" s="15" t="s">
        <v>74</v>
      </c>
      <c r="B105" s="15" t="str">
        <f>tbl_devices!A8</f>
        <v>HH1-RACK-T10-TEST_C1-ACC_SW-01</v>
      </c>
      <c r="C105" s="14" t="b">
        <v>1</v>
      </c>
      <c r="D105" s="15" t="s">
        <v>55</v>
      </c>
      <c r="E105" s="15" t="s">
        <v>61</v>
      </c>
      <c r="F105" s="15" t="s">
        <v>62</v>
      </c>
      <c r="G105" s="14">
        <v>20</v>
      </c>
      <c r="I105" s="15" t="s">
        <v>63</v>
      </c>
    </row>
    <row r="106" spans="1:9">
      <c r="A106" s="15" t="s">
        <v>75</v>
      </c>
      <c r="B106" s="15" t="str">
        <f>tbl_devices!A8</f>
        <v>HH1-RACK-T10-TEST_C1-ACC_SW-01</v>
      </c>
      <c r="C106" s="14" t="b">
        <v>1</v>
      </c>
      <c r="D106" s="15" t="s">
        <v>55</v>
      </c>
      <c r="E106" s="15" t="s">
        <v>61</v>
      </c>
      <c r="F106" s="15" t="s">
        <v>62</v>
      </c>
      <c r="G106" s="14">
        <v>20</v>
      </c>
      <c r="I106" s="15" t="s">
        <v>63</v>
      </c>
    </row>
    <row r="107" spans="1:9">
      <c r="A107" s="15" t="s">
        <v>76</v>
      </c>
      <c r="B107" s="15" t="str">
        <f>tbl_devices!A8</f>
        <v>HH1-RACK-T10-TEST_C1-ACC_SW-01</v>
      </c>
      <c r="C107" s="14" t="b">
        <v>1</v>
      </c>
      <c r="D107" s="15" t="s">
        <v>55</v>
      </c>
      <c r="E107" s="15" t="s">
        <v>61</v>
      </c>
      <c r="F107" s="15" t="s">
        <v>62</v>
      </c>
      <c r="G107" s="14">
        <v>20</v>
      </c>
      <c r="I107" s="15" t="s">
        <v>63</v>
      </c>
    </row>
    <row r="108" spans="1:9">
      <c r="A108" s="15" t="s">
        <v>77</v>
      </c>
      <c r="B108" s="15" t="str">
        <f>tbl_devices!A8</f>
        <v>HH1-RACK-T10-TEST_C1-ACC_SW-01</v>
      </c>
      <c r="C108" s="14" t="b">
        <v>1</v>
      </c>
      <c r="D108" s="15" t="s">
        <v>78</v>
      </c>
      <c r="E108" s="15" t="s">
        <v>79</v>
      </c>
      <c r="F108" s="15" t="s">
        <v>79</v>
      </c>
      <c r="I108" s="15" t="s">
        <v>79</v>
      </c>
    </row>
    <row r="109" spans="1:9">
      <c r="A109" s="15" t="s">
        <v>80</v>
      </c>
      <c r="B109" s="15" t="str">
        <f>tbl_devices!A8</f>
        <v>HH1-RACK-T10-TEST_C1-ACC_SW-01</v>
      </c>
      <c r="C109" s="14" t="b">
        <v>1</v>
      </c>
      <c r="D109" s="15" t="s">
        <v>78</v>
      </c>
      <c r="E109" s="15" t="s">
        <v>79</v>
      </c>
      <c r="F109" s="15" t="s">
        <v>79</v>
      </c>
      <c r="I109" s="15" t="s">
        <v>79</v>
      </c>
    </row>
    <row r="110" spans="1:9">
      <c r="A110" s="15" t="s">
        <v>54</v>
      </c>
      <c r="B110" s="15" t="str">
        <f>tbl_devices!A9</f>
        <v>HH1-RACK-T19-TEST_C1-ACC_SW-01</v>
      </c>
      <c r="C110" s="14" t="b">
        <v>1</v>
      </c>
      <c r="D110" s="15" t="s">
        <v>55</v>
      </c>
      <c r="E110" s="15" t="s">
        <v>56</v>
      </c>
      <c r="F110" s="15" t="s">
        <v>57</v>
      </c>
      <c r="H110" s="16" t="s">
        <v>127</v>
      </c>
      <c r="I110" s="15" t="s">
        <v>59</v>
      </c>
    </row>
    <row r="111" spans="1:9">
      <c r="A111" s="15" t="s">
        <v>58</v>
      </c>
      <c r="B111" s="15" t="str">
        <f>tbl_devices!A9</f>
        <v>HH1-RACK-T19-TEST_C1-ACC_SW-01</v>
      </c>
      <c r="C111" s="14" t="b">
        <v>1</v>
      </c>
      <c r="D111" s="15" t="s">
        <v>55</v>
      </c>
      <c r="E111" s="15" t="s">
        <v>56</v>
      </c>
      <c r="F111" s="15" t="s">
        <v>57</v>
      </c>
      <c r="H111" s="16" t="s">
        <v>127</v>
      </c>
      <c r="I111" s="15" t="s">
        <v>59</v>
      </c>
    </row>
    <row r="112" spans="1:9">
      <c r="A112" s="15" t="s">
        <v>60</v>
      </c>
      <c r="B112" s="15" t="str">
        <f>tbl_devices!A9</f>
        <v>HH1-RACK-T19-TEST_C1-ACC_SW-01</v>
      </c>
      <c r="C112" s="14" t="b">
        <v>1</v>
      </c>
      <c r="D112" s="15" t="s">
        <v>55</v>
      </c>
      <c r="E112" s="15" t="s">
        <v>61</v>
      </c>
      <c r="F112" s="15" t="s">
        <v>62</v>
      </c>
      <c r="G112" s="14">
        <v>20</v>
      </c>
      <c r="I112" s="15" t="s">
        <v>63</v>
      </c>
    </row>
    <row r="113" spans="1:9">
      <c r="A113" s="15" t="s">
        <v>64</v>
      </c>
      <c r="B113" s="15" t="str">
        <f>tbl_devices!A9</f>
        <v>HH1-RACK-T19-TEST_C1-ACC_SW-01</v>
      </c>
      <c r="C113" s="14" t="b">
        <v>1</v>
      </c>
      <c r="D113" s="15" t="s">
        <v>55</v>
      </c>
      <c r="E113" s="15" t="s">
        <v>61</v>
      </c>
      <c r="F113" s="15" t="s">
        <v>62</v>
      </c>
      <c r="G113" s="14">
        <v>20</v>
      </c>
      <c r="I113" s="15" t="s">
        <v>63</v>
      </c>
    </row>
    <row r="114" spans="1:9">
      <c r="A114" s="15" t="s">
        <v>65</v>
      </c>
      <c r="B114" s="15" t="str">
        <f>tbl_devices!A9</f>
        <v>HH1-RACK-T19-TEST_C1-ACC_SW-01</v>
      </c>
      <c r="C114" s="14" t="b">
        <v>1</v>
      </c>
      <c r="D114" s="15" t="s">
        <v>55</v>
      </c>
      <c r="E114" s="15" t="s">
        <v>61</v>
      </c>
      <c r="F114" s="15" t="s">
        <v>62</v>
      </c>
      <c r="G114" s="14">
        <v>20</v>
      </c>
      <c r="I114" s="15" t="s">
        <v>63</v>
      </c>
    </row>
    <row r="115" spans="1:9">
      <c r="A115" s="15" t="s">
        <v>66</v>
      </c>
      <c r="B115" s="15" t="str">
        <f>tbl_devices!A9</f>
        <v>HH1-RACK-T19-TEST_C1-ACC_SW-01</v>
      </c>
      <c r="C115" s="14" t="b">
        <v>1</v>
      </c>
      <c r="D115" s="15" t="s">
        <v>55</v>
      </c>
      <c r="E115" s="15" t="s">
        <v>61</v>
      </c>
      <c r="F115" s="15" t="s">
        <v>62</v>
      </c>
      <c r="G115" s="14">
        <v>20</v>
      </c>
      <c r="I115" s="15" t="s">
        <v>63</v>
      </c>
    </row>
    <row r="116" spans="1:9">
      <c r="A116" s="15" t="s">
        <v>67</v>
      </c>
      <c r="B116" s="15" t="str">
        <f>tbl_devices!A9</f>
        <v>HH1-RACK-T19-TEST_C1-ACC_SW-01</v>
      </c>
      <c r="C116" s="14" t="b">
        <v>1</v>
      </c>
      <c r="D116" s="15" t="s">
        <v>55</v>
      </c>
      <c r="E116" s="15" t="s">
        <v>61</v>
      </c>
      <c r="F116" s="15" t="s">
        <v>62</v>
      </c>
      <c r="G116" s="14">
        <v>20</v>
      </c>
      <c r="I116" s="15" t="s">
        <v>63</v>
      </c>
    </row>
    <row r="117" spans="1:9">
      <c r="A117" s="15" t="s">
        <v>68</v>
      </c>
      <c r="B117" s="15" t="str">
        <f>tbl_devices!A9</f>
        <v>HH1-RACK-T19-TEST_C1-ACC_SW-01</v>
      </c>
      <c r="C117" s="14" t="b">
        <v>1</v>
      </c>
      <c r="D117" s="15" t="s">
        <v>55</v>
      </c>
      <c r="E117" s="15" t="s">
        <v>61</v>
      </c>
      <c r="F117" s="15" t="s">
        <v>62</v>
      </c>
      <c r="G117" s="14">
        <v>20</v>
      </c>
      <c r="I117" s="15" t="s">
        <v>63</v>
      </c>
    </row>
    <row r="118" spans="1:9">
      <c r="A118" s="15" t="s">
        <v>69</v>
      </c>
      <c r="B118" s="15" t="str">
        <f>tbl_devices!A9</f>
        <v>HH1-RACK-T19-TEST_C1-ACC_SW-01</v>
      </c>
      <c r="C118" s="14" t="b">
        <v>1</v>
      </c>
      <c r="D118" s="15" t="s">
        <v>55</v>
      </c>
      <c r="E118" s="15" t="s">
        <v>61</v>
      </c>
      <c r="F118" s="15" t="s">
        <v>62</v>
      </c>
      <c r="G118" s="14">
        <v>20</v>
      </c>
      <c r="I118" s="15" t="s">
        <v>63</v>
      </c>
    </row>
    <row r="119" spans="1:9">
      <c r="A119" s="15" t="s">
        <v>70</v>
      </c>
      <c r="B119" s="15" t="str">
        <f>tbl_devices!A9</f>
        <v>HH1-RACK-T19-TEST_C1-ACC_SW-01</v>
      </c>
      <c r="C119" s="14" t="b">
        <v>1</v>
      </c>
      <c r="D119" s="15" t="s">
        <v>55</v>
      </c>
      <c r="E119" s="15" t="s">
        <v>61</v>
      </c>
      <c r="F119" s="15" t="s">
        <v>62</v>
      </c>
      <c r="G119" s="14">
        <v>20</v>
      </c>
      <c r="I119" s="15" t="s">
        <v>63</v>
      </c>
    </row>
    <row r="120" spans="1:9">
      <c r="A120" s="15" t="s">
        <v>71</v>
      </c>
      <c r="B120" s="15" t="str">
        <f>tbl_devices!A9</f>
        <v>HH1-RACK-T19-TEST_C1-ACC_SW-01</v>
      </c>
      <c r="C120" s="14" t="b">
        <v>1</v>
      </c>
      <c r="D120" s="15" t="s">
        <v>55</v>
      </c>
      <c r="E120" s="15" t="s">
        <v>61</v>
      </c>
      <c r="F120" s="15" t="s">
        <v>62</v>
      </c>
      <c r="G120" s="14">
        <v>20</v>
      </c>
      <c r="I120" s="15" t="s">
        <v>63</v>
      </c>
    </row>
    <row r="121" spans="1:9">
      <c r="A121" s="15" t="s">
        <v>72</v>
      </c>
      <c r="B121" s="15" t="str">
        <f>tbl_devices!A9</f>
        <v>HH1-RACK-T19-TEST_C1-ACC_SW-01</v>
      </c>
      <c r="C121" s="14" t="b">
        <v>1</v>
      </c>
      <c r="D121" s="15" t="s">
        <v>55</v>
      </c>
      <c r="E121" s="15" t="s">
        <v>61</v>
      </c>
      <c r="F121" s="15" t="s">
        <v>62</v>
      </c>
      <c r="G121" s="14">
        <v>20</v>
      </c>
      <c r="I121" s="15" t="s">
        <v>63</v>
      </c>
    </row>
    <row r="122" spans="1:9">
      <c r="A122" s="15" t="s">
        <v>73</v>
      </c>
      <c r="B122" s="15" t="str">
        <f>tbl_devices!A9</f>
        <v>HH1-RACK-T19-TEST_C1-ACC_SW-01</v>
      </c>
      <c r="C122" s="14" t="b">
        <v>1</v>
      </c>
      <c r="D122" s="15" t="s">
        <v>55</v>
      </c>
      <c r="E122" s="15" t="s">
        <v>61</v>
      </c>
      <c r="F122" s="15" t="s">
        <v>62</v>
      </c>
      <c r="G122" s="14">
        <v>20</v>
      </c>
      <c r="I122" s="15" t="s">
        <v>63</v>
      </c>
    </row>
    <row r="123" spans="1:9">
      <c r="A123" s="15" t="s">
        <v>74</v>
      </c>
      <c r="B123" s="15" t="str">
        <f>tbl_devices!A9</f>
        <v>HH1-RACK-T19-TEST_C1-ACC_SW-01</v>
      </c>
      <c r="C123" s="14" t="b">
        <v>1</v>
      </c>
      <c r="D123" s="15" t="s">
        <v>55</v>
      </c>
      <c r="E123" s="15" t="s">
        <v>61</v>
      </c>
      <c r="F123" s="15" t="s">
        <v>62</v>
      </c>
      <c r="G123" s="14">
        <v>20</v>
      </c>
      <c r="I123" s="15" t="s">
        <v>63</v>
      </c>
    </row>
    <row r="124" spans="1:9">
      <c r="A124" s="15" t="s">
        <v>75</v>
      </c>
      <c r="B124" s="15" t="str">
        <f>tbl_devices!A9</f>
        <v>HH1-RACK-T19-TEST_C1-ACC_SW-01</v>
      </c>
      <c r="C124" s="14" t="b">
        <v>1</v>
      </c>
      <c r="D124" s="15" t="s">
        <v>55</v>
      </c>
      <c r="E124" s="15" t="s">
        <v>61</v>
      </c>
      <c r="F124" s="15" t="s">
        <v>62</v>
      </c>
      <c r="G124" s="14">
        <v>20</v>
      </c>
      <c r="I124" s="15" t="s">
        <v>63</v>
      </c>
    </row>
    <row r="125" spans="1:9">
      <c r="A125" s="15" t="s">
        <v>76</v>
      </c>
      <c r="B125" s="15" t="str">
        <f>tbl_devices!A9</f>
        <v>HH1-RACK-T19-TEST_C1-ACC_SW-01</v>
      </c>
      <c r="C125" s="14" t="b">
        <v>1</v>
      </c>
      <c r="D125" s="15" t="s">
        <v>55</v>
      </c>
      <c r="E125" s="15" t="s">
        <v>61</v>
      </c>
      <c r="F125" s="15" t="s">
        <v>62</v>
      </c>
      <c r="G125" s="14">
        <v>20</v>
      </c>
      <c r="I125" s="15" t="s">
        <v>63</v>
      </c>
    </row>
    <row r="126" spans="1:9">
      <c r="A126" s="15" t="s">
        <v>77</v>
      </c>
      <c r="B126" s="15" t="str">
        <f>tbl_devices!A9</f>
        <v>HH1-RACK-T19-TEST_C1-ACC_SW-01</v>
      </c>
      <c r="C126" s="14" t="b">
        <v>1</v>
      </c>
      <c r="D126" s="15" t="s">
        <v>78</v>
      </c>
      <c r="E126" s="15" t="s">
        <v>79</v>
      </c>
      <c r="F126" s="15" t="s">
        <v>79</v>
      </c>
      <c r="I126" s="15" t="s">
        <v>79</v>
      </c>
    </row>
    <row r="127" spans="1:9">
      <c r="A127" s="15" t="s">
        <v>80</v>
      </c>
      <c r="B127" s="15" t="str">
        <f>tbl_devices!A9</f>
        <v>HH1-RACK-T19-TEST_C1-ACC_SW-01</v>
      </c>
      <c r="C127" s="14" t="b">
        <v>1</v>
      </c>
      <c r="D127" s="15" t="s">
        <v>78</v>
      </c>
      <c r="E127" s="15" t="s">
        <v>79</v>
      </c>
      <c r="F127" s="15" t="s">
        <v>79</v>
      </c>
      <c r="I127" s="15" t="s">
        <v>79</v>
      </c>
    </row>
    <row r="128" spans="1:9">
      <c r="A128" s="15" t="s">
        <v>54</v>
      </c>
      <c r="B128" s="15" t="str">
        <f>tbl_devices!A10</f>
        <v>CCTV-MRACK-TEST_C1-ACC_SW-02</v>
      </c>
      <c r="C128" s="14" t="b">
        <v>1</v>
      </c>
      <c r="D128" s="15" t="s">
        <v>55</v>
      </c>
      <c r="E128" s="15" t="s">
        <v>56</v>
      </c>
      <c r="F128" s="15" t="s">
        <v>57</v>
      </c>
      <c r="H128" s="16" t="s">
        <v>127</v>
      </c>
      <c r="I128" s="15" t="s">
        <v>59</v>
      </c>
    </row>
    <row r="129" spans="1:9">
      <c r="A129" s="15" t="s">
        <v>58</v>
      </c>
      <c r="B129" s="15" t="str">
        <f>tbl_devices!A10</f>
        <v>CCTV-MRACK-TEST_C1-ACC_SW-02</v>
      </c>
      <c r="C129" s="14" t="b">
        <v>1</v>
      </c>
      <c r="D129" s="15" t="s">
        <v>55</v>
      </c>
      <c r="E129" s="15" t="s">
        <v>56</v>
      </c>
      <c r="F129" s="15" t="s">
        <v>57</v>
      </c>
      <c r="H129" s="16" t="s">
        <v>127</v>
      </c>
      <c r="I129" s="15" t="s">
        <v>59</v>
      </c>
    </row>
    <row r="130" spans="1:9">
      <c r="A130" s="15" t="s">
        <v>64</v>
      </c>
      <c r="B130" s="15" t="str">
        <f>tbl_devices!A10</f>
        <v>CCTV-MRACK-TEST_C1-ACC_SW-02</v>
      </c>
      <c r="C130" s="14" t="b">
        <v>1</v>
      </c>
      <c r="D130" s="15" t="s">
        <v>55</v>
      </c>
      <c r="E130" s="15" t="s">
        <v>61</v>
      </c>
      <c r="F130" s="15" t="s">
        <v>62</v>
      </c>
      <c r="G130" s="14">
        <v>20</v>
      </c>
      <c r="I130" s="15" t="s">
        <v>63</v>
      </c>
    </row>
    <row r="131" spans="1:9">
      <c r="A131" s="15" t="s">
        <v>65</v>
      </c>
      <c r="B131" s="15" t="str">
        <f>tbl_devices!A10</f>
        <v>CCTV-MRACK-TEST_C1-ACC_SW-02</v>
      </c>
      <c r="C131" s="14" t="b">
        <v>1</v>
      </c>
      <c r="D131" s="15" t="s">
        <v>55</v>
      </c>
      <c r="E131" s="15" t="s">
        <v>61</v>
      </c>
      <c r="F131" s="15" t="s">
        <v>62</v>
      </c>
      <c r="G131" s="14">
        <v>20</v>
      </c>
      <c r="I131" s="15" t="s">
        <v>63</v>
      </c>
    </row>
    <row r="132" spans="1:9">
      <c r="A132" s="15" t="s">
        <v>66</v>
      </c>
      <c r="B132" s="15" t="str">
        <f>tbl_devices!A10</f>
        <v>CCTV-MRACK-TEST_C1-ACC_SW-02</v>
      </c>
      <c r="C132" s="14" t="b">
        <v>1</v>
      </c>
      <c r="D132" s="15" t="s">
        <v>55</v>
      </c>
      <c r="E132" s="15" t="s">
        <v>61</v>
      </c>
      <c r="F132" s="15" t="s">
        <v>62</v>
      </c>
      <c r="G132" s="14">
        <v>20</v>
      </c>
      <c r="I132" s="15" t="s">
        <v>63</v>
      </c>
    </row>
    <row r="133" spans="1:9">
      <c r="A133" s="15" t="s">
        <v>67</v>
      </c>
      <c r="B133" s="15" t="str">
        <f>tbl_devices!A10</f>
        <v>CCTV-MRACK-TEST_C1-ACC_SW-02</v>
      </c>
      <c r="C133" s="14" t="b">
        <v>1</v>
      </c>
      <c r="D133" s="15" t="s">
        <v>55</v>
      </c>
      <c r="E133" s="15" t="s">
        <v>61</v>
      </c>
      <c r="F133" s="15" t="s">
        <v>62</v>
      </c>
      <c r="G133" s="14">
        <v>20</v>
      </c>
      <c r="I133" s="15" t="s">
        <v>63</v>
      </c>
    </row>
    <row r="134" spans="1:9">
      <c r="A134" s="15" t="s">
        <v>68</v>
      </c>
      <c r="B134" s="15" t="str">
        <f>tbl_devices!A10</f>
        <v>CCTV-MRACK-TEST_C1-ACC_SW-02</v>
      </c>
      <c r="C134" s="14" t="b">
        <v>1</v>
      </c>
      <c r="D134" s="15" t="s">
        <v>55</v>
      </c>
      <c r="E134" s="15" t="s">
        <v>61</v>
      </c>
      <c r="F134" s="15" t="s">
        <v>62</v>
      </c>
      <c r="G134" s="14">
        <v>20</v>
      </c>
      <c r="I134" s="15" t="s">
        <v>63</v>
      </c>
    </row>
    <row r="135" spans="1:9">
      <c r="A135" s="15" t="s">
        <v>69</v>
      </c>
      <c r="B135" s="15" t="str">
        <f>tbl_devices!A10</f>
        <v>CCTV-MRACK-TEST_C1-ACC_SW-02</v>
      </c>
      <c r="C135" s="14" t="b">
        <v>1</v>
      </c>
      <c r="D135" s="15" t="s">
        <v>55</v>
      </c>
      <c r="E135" s="15" t="s">
        <v>61</v>
      </c>
      <c r="F135" s="15" t="s">
        <v>62</v>
      </c>
      <c r="G135" s="14">
        <v>20</v>
      </c>
      <c r="I135" s="15" t="s">
        <v>63</v>
      </c>
    </row>
    <row r="136" spans="1:9">
      <c r="A136" s="15" t="s">
        <v>70</v>
      </c>
      <c r="B136" s="15" t="str">
        <f>tbl_devices!A10</f>
        <v>CCTV-MRACK-TEST_C1-ACC_SW-02</v>
      </c>
      <c r="C136" s="14" t="b">
        <v>1</v>
      </c>
      <c r="D136" s="15" t="s">
        <v>55</v>
      </c>
      <c r="E136" s="15" t="s">
        <v>61</v>
      </c>
      <c r="F136" s="15" t="s">
        <v>62</v>
      </c>
      <c r="G136" s="14">
        <v>20</v>
      </c>
      <c r="I136" s="15" t="s">
        <v>63</v>
      </c>
    </row>
    <row r="137" spans="1:9">
      <c r="A137" s="15" t="s">
        <v>71</v>
      </c>
      <c r="B137" s="15" t="str">
        <f>tbl_devices!A10</f>
        <v>CCTV-MRACK-TEST_C1-ACC_SW-02</v>
      </c>
      <c r="C137" s="14" t="b">
        <v>1</v>
      </c>
      <c r="D137" s="15" t="s">
        <v>55</v>
      </c>
      <c r="E137" s="15" t="s">
        <v>61</v>
      </c>
      <c r="F137" s="15" t="s">
        <v>62</v>
      </c>
      <c r="G137" s="14">
        <v>20</v>
      </c>
      <c r="I137" s="15" t="s">
        <v>63</v>
      </c>
    </row>
    <row r="138" spans="1:9">
      <c r="A138" s="15" t="s">
        <v>72</v>
      </c>
      <c r="B138" s="15" t="str">
        <f>tbl_devices!A10</f>
        <v>CCTV-MRACK-TEST_C1-ACC_SW-02</v>
      </c>
      <c r="C138" s="14" t="b">
        <v>1</v>
      </c>
      <c r="D138" s="15" t="s">
        <v>55</v>
      </c>
      <c r="E138" s="15" t="s">
        <v>61</v>
      </c>
      <c r="F138" s="15" t="s">
        <v>62</v>
      </c>
      <c r="G138" s="14">
        <v>20</v>
      </c>
      <c r="I138" s="15" t="s">
        <v>63</v>
      </c>
    </row>
    <row r="139" spans="1:9">
      <c r="A139" s="15" t="s">
        <v>73</v>
      </c>
      <c r="B139" s="15" t="str">
        <f>tbl_devices!A10</f>
        <v>CCTV-MRACK-TEST_C1-ACC_SW-02</v>
      </c>
      <c r="C139" s="14" t="b">
        <v>1</v>
      </c>
      <c r="D139" s="15" t="s">
        <v>55</v>
      </c>
      <c r="E139" s="15" t="s">
        <v>61</v>
      </c>
      <c r="F139" s="15" t="s">
        <v>62</v>
      </c>
      <c r="G139" s="14">
        <v>20</v>
      </c>
      <c r="I139" s="15" t="s">
        <v>63</v>
      </c>
    </row>
    <row r="140" spans="1:9">
      <c r="A140" s="15" t="s">
        <v>74</v>
      </c>
      <c r="B140" s="15" t="str">
        <f>tbl_devices!A10</f>
        <v>CCTV-MRACK-TEST_C1-ACC_SW-02</v>
      </c>
      <c r="C140" s="14" t="b">
        <v>1</v>
      </c>
      <c r="D140" s="15" t="s">
        <v>55</v>
      </c>
      <c r="E140" s="15" t="s">
        <v>61</v>
      </c>
      <c r="F140" s="15" t="s">
        <v>62</v>
      </c>
      <c r="G140" s="14">
        <v>20</v>
      </c>
      <c r="I140" s="15" t="s">
        <v>63</v>
      </c>
    </row>
    <row r="141" spans="1:9">
      <c r="A141" s="15" t="s">
        <v>75</v>
      </c>
      <c r="B141" s="15" t="str">
        <f>tbl_devices!A10</f>
        <v>CCTV-MRACK-TEST_C1-ACC_SW-02</v>
      </c>
      <c r="C141" s="14" t="b">
        <v>1</v>
      </c>
      <c r="D141" s="15" t="s">
        <v>55</v>
      </c>
      <c r="E141" s="15" t="s">
        <v>61</v>
      </c>
      <c r="F141" s="15" t="s">
        <v>62</v>
      </c>
      <c r="G141" s="14">
        <v>20</v>
      </c>
      <c r="I141" s="15" t="s">
        <v>63</v>
      </c>
    </row>
    <row r="142" spans="1:9">
      <c r="A142" s="15" t="s">
        <v>76</v>
      </c>
      <c r="B142" s="15" t="str">
        <f>tbl_devices!A10</f>
        <v>CCTV-MRACK-TEST_C1-ACC_SW-02</v>
      </c>
      <c r="C142" s="14" t="b">
        <v>1</v>
      </c>
      <c r="D142" s="15" t="s">
        <v>55</v>
      </c>
      <c r="E142" s="15" t="s">
        <v>61</v>
      </c>
      <c r="F142" s="15" t="s">
        <v>62</v>
      </c>
      <c r="G142" s="14">
        <v>20</v>
      </c>
      <c r="I142" s="15" t="s">
        <v>63</v>
      </c>
    </row>
    <row r="143" spans="1:9">
      <c r="A143" s="15" t="s">
        <v>77</v>
      </c>
      <c r="B143" s="15" t="str">
        <f>tbl_devices!A10</f>
        <v>CCTV-MRACK-TEST_C1-ACC_SW-02</v>
      </c>
      <c r="C143" s="14" t="b">
        <v>1</v>
      </c>
      <c r="D143" s="15" t="s">
        <v>78</v>
      </c>
      <c r="E143" s="15" t="s">
        <v>79</v>
      </c>
      <c r="F143" s="15" t="s">
        <v>79</v>
      </c>
      <c r="I143" s="15" t="s">
        <v>79</v>
      </c>
    </row>
    <row r="144" spans="1:9">
      <c r="A144" s="15" t="s">
        <v>80</v>
      </c>
      <c r="B144" s="15" t="str">
        <f>tbl_devices!A10</f>
        <v>CCTV-MRACK-TEST_C1-ACC_SW-02</v>
      </c>
      <c r="C144" s="14" t="b">
        <v>1</v>
      </c>
      <c r="D144" s="15" t="s">
        <v>78</v>
      </c>
      <c r="E144" s="15" t="s">
        <v>79</v>
      </c>
      <c r="F144" s="15" t="s">
        <v>79</v>
      </c>
      <c r="I144" s="15" t="s">
        <v>79</v>
      </c>
    </row>
    <row r="145" spans="1:9">
      <c r="A145" s="15" t="s">
        <v>54</v>
      </c>
      <c r="B145" s="15" t="str">
        <f>tbl_devices!A11</f>
        <v>HH1-RACK-T15-TEST_C1-ACC_SW-01</v>
      </c>
      <c r="C145" s="14" t="b">
        <v>1</v>
      </c>
      <c r="D145" s="15" t="s">
        <v>55</v>
      </c>
      <c r="E145" s="15" t="s">
        <v>56</v>
      </c>
      <c r="F145" s="15" t="s">
        <v>57</v>
      </c>
      <c r="H145" s="16" t="s">
        <v>127</v>
      </c>
      <c r="I145" s="15" t="s">
        <v>59</v>
      </c>
    </row>
    <row r="146" spans="1:9">
      <c r="A146" s="15" t="s">
        <v>58</v>
      </c>
      <c r="B146" s="15" t="str">
        <f>tbl_devices!A11</f>
        <v>HH1-RACK-T15-TEST_C1-ACC_SW-01</v>
      </c>
      <c r="C146" s="14" t="b">
        <v>1</v>
      </c>
      <c r="D146" s="15" t="s">
        <v>55</v>
      </c>
      <c r="E146" s="15" t="s">
        <v>56</v>
      </c>
      <c r="F146" s="15" t="s">
        <v>57</v>
      </c>
      <c r="H146" s="16" t="s">
        <v>127</v>
      </c>
      <c r="I146" s="15" t="s">
        <v>59</v>
      </c>
    </row>
    <row r="147" spans="1:9">
      <c r="A147" s="15" t="s">
        <v>60</v>
      </c>
      <c r="B147" s="15" t="str">
        <f>tbl_devices!A11</f>
        <v>HH1-RACK-T15-TEST_C1-ACC_SW-01</v>
      </c>
      <c r="C147" s="14" t="b">
        <v>1</v>
      </c>
      <c r="D147" s="15" t="s">
        <v>55</v>
      </c>
      <c r="E147" s="15" t="s">
        <v>61</v>
      </c>
      <c r="F147" s="15" t="s">
        <v>62</v>
      </c>
      <c r="G147" s="14">
        <v>20</v>
      </c>
      <c r="I147" s="15" t="s">
        <v>63</v>
      </c>
    </row>
    <row r="148" spans="1:9">
      <c r="A148" s="15" t="s">
        <v>64</v>
      </c>
      <c r="B148" s="15" t="str">
        <f>tbl_devices!A11</f>
        <v>HH1-RACK-T15-TEST_C1-ACC_SW-01</v>
      </c>
      <c r="C148" s="14" t="b">
        <v>1</v>
      </c>
      <c r="D148" s="15" t="s">
        <v>55</v>
      </c>
      <c r="E148" s="15" t="s">
        <v>61</v>
      </c>
      <c r="F148" s="15" t="s">
        <v>62</v>
      </c>
      <c r="G148" s="14">
        <v>20</v>
      </c>
      <c r="I148" s="15" t="s">
        <v>63</v>
      </c>
    </row>
    <row r="149" spans="1:9">
      <c r="A149" s="15" t="s">
        <v>65</v>
      </c>
      <c r="B149" s="15" t="str">
        <f>tbl_devices!A11</f>
        <v>HH1-RACK-T15-TEST_C1-ACC_SW-01</v>
      </c>
      <c r="C149" s="14" t="b">
        <v>1</v>
      </c>
      <c r="D149" s="15" t="s">
        <v>55</v>
      </c>
      <c r="E149" s="15" t="s">
        <v>61</v>
      </c>
      <c r="F149" s="15" t="s">
        <v>62</v>
      </c>
      <c r="G149" s="14">
        <v>20</v>
      </c>
      <c r="I149" s="15" t="s">
        <v>63</v>
      </c>
    </row>
    <row r="150" spans="1:9">
      <c r="A150" s="15" t="s">
        <v>66</v>
      </c>
      <c r="B150" s="15" t="str">
        <f>tbl_devices!A11</f>
        <v>HH1-RACK-T15-TEST_C1-ACC_SW-01</v>
      </c>
      <c r="C150" s="14" t="b">
        <v>1</v>
      </c>
      <c r="D150" s="15" t="s">
        <v>55</v>
      </c>
      <c r="E150" s="15" t="s">
        <v>61</v>
      </c>
      <c r="F150" s="15" t="s">
        <v>62</v>
      </c>
      <c r="G150" s="14">
        <v>20</v>
      </c>
      <c r="I150" s="15" t="s">
        <v>63</v>
      </c>
    </row>
    <row r="151" spans="1:9">
      <c r="A151" s="15" t="s">
        <v>67</v>
      </c>
      <c r="B151" s="15" t="str">
        <f>tbl_devices!A11</f>
        <v>HH1-RACK-T15-TEST_C1-ACC_SW-01</v>
      </c>
      <c r="C151" s="14" t="b">
        <v>1</v>
      </c>
      <c r="D151" s="15" t="s">
        <v>55</v>
      </c>
      <c r="E151" s="15" t="s">
        <v>61</v>
      </c>
      <c r="F151" s="15" t="s">
        <v>62</v>
      </c>
      <c r="G151" s="14">
        <v>20</v>
      </c>
      <c r="I151" s="15" t="s">
        <v>63</v>
      </c>
    </row>
    <row r="152" spans="1:9">
      <c r="A152" s="15" t="s">
        <v>68</v>
      </c>
      <c r="B152" s="15" t="str">
        <f>tbl_devices!A11</f>
        <v>HH1-RACK-T15-TEST_C1-ACC_SW-01</v>
      </c>
      <c r="C152" s="14" t="b">
        <v>1</v>
      </c>
      <c r="D152" s="15" t="s">
        <v>55</v>
      </c>
      <c r="E152" s="15" t="s">
        <v>61</v>
      </c>
      <c r="F152" s="15" t="s">
        <v>62</v>
      </c>
      <c r="G152" s="14">
        <v>20</v>
      </c>
      <c r="I152" s="15" t="s">
        <v>63</v>
      </c>
    </row>
    <row r="153" spans="1:9">
      <c r="A153" s="15" t="s">
        <v>69</v>
      </c>
      <c r="B153" s="15" t="str">
        <f>tbl_devices!A11</f>
        <v>HH1-RACK-T15-TEST_C1-ACC_SW-01</v>
      </c>
      <c r="C153" s="14" t="b">
        <v>1</v>
      </c>
      <c r="D153" s="15" t="s">
        <v>55</v>
      </c>
      <c r="E153" s="15" t="s">
        <v>61</v>
      </c>
      <c r="F153" s="15" t="s">
        <v>62</v>
      </c>
      <c r="G153" s="14">
        <v>20</v>
      </c>
      <c r="I153" s="15" t="s">
        <v>63</v>
      </c>
    </row>
    <row r="154" spans="1:9">
      <c r="A154" s="15" t="s">
        <v>70</v>
      </c>
      <c r="B154" s="15" t="str">
        <f>tbl_devices!A11</f>
        <v>HH1-RACK-T15-TEST_C1-ACC_SW-01</v>
      </c>
      <c r="C154" s="14" t="b">
        <v>1</v>
      </c>
      <c r="D154" s="15" t="s">
        <v>55</v>
      </c>
      <c r="E154" s="15" t="s">
        <v>61</v>
      </c>
      <c r="F154" s="15" t="s">
        <v>62</v>
      </c>
      <c r="G154" s="14">
        <v>20</v>
      </c>
      <c r="I154" s="15" t="s">
        <v>63</v>
      </c>
    </row>
    <row r="155" spans="1:9">
      <c r="A155" s="15" t="s">
        <v>71</v>
      </c>
      <c r="B155" s="15" t="str">
        <f>tbl_devices!A11</f>
        <v>HH1-RACK-T15-TEST_C1-ACC_SW-01</v>
      </c>
      <c r="C155" s="14" t="b">
        <v>1</v>
      </c>
      <c r="D155" s="15" t="s">
        <v>55</v>
      </c>
      <c r="E155" s="15" t="s">
        <v>61</v>
      </c>
      <c r="F155" s="15" t="s">
        <v>62</v>
      </c>
      <c r="G155" s="14">
        <v>20</v>
      </c>
      <c r="I155" s="15" t="s">
        <v>63</v>
      </c>
    </row>
    <row r="156" spans="1:9">
      <c r="A156" s="15" t="s">
        <v>72</v>
      </c>
      <c r="B156" s="15" t="str">
        <f>tbl_devices!A11</f>
        <v>HH1-RACK-T15-TEST_C1-ACC_SW-01</v>
      </c>
      <c r="C156" s="14" t="b">
        <v>1</v>
      </c>
      <c r="D156" s="15" t="s">
        <v>55</v>
      </c>
      <c r="E156" s="15" t="s">
        <v>61</v>
      </c>
      <c r="F156" s="15" t="s">
        <v>62</v>
      </c>
      <c r="G156" s="14">
        <v>20</v>
      </c>
      <c r="I156" s="15" t="s">
        <v>63</v>
      </c>
    </row>
    <row r="157" spans="1:9">
      <c r="A157" s="15" t="s">
        <v>73</v>
      </c>
      <c r="B157" s="15" t="str">
        <f>tbl_devices!A11</f>
        <v>HH1-RACK-T15-TEST_C1-ACC_SW-01</v>
      </c>
      <c r="C157" s="14" t="b">
        <v>1</v>
      </c>
      <c r="D157" s="15" t="s">
        <v>55</v>
      </c>
      <c r="E157" s="15" t="s">
        <v>61</v>
      </c>
      <c r="F157" s="15" t="s">
        <v>62</v>
      </c>
      <c r="G157" s="14">
        <v>20</v>
      </c>
      <c r="I157" s="15" t="s">
        <v>63</v>
      </c>
    </row>
    <row r="158" spans="1:9">
      <c r="A158" s="15" t="s">
        <v>74</v>
      </c>
      <c r="B158" s="15" t="str">
        <f>tbl_devices!A11</f>
        <v>HH1-RACK-T15-TEST_C1-ACC_SW-01</v>
      </c>
      <c r="C158" s="14" t="b">
        <v>1</v>
      </c>
      <c r="D158" s="15" t="s">
        <v>55</v>
      </c>
      <c r="E158" s="15" t="s">
        <v>61</v>
      </c>
      <c r="F158" s="15" t="s">
        <v>62</v>
      </c>
      <c r="G158" s="14">
        <v>20</v>
      </c>
      <c r="I158" s="15" t="s">
        <v>63</v>
      </c>
    </row>
    <row r="159" spans="1:9">
      <c r="A159" s="15" t="s">
        <v>75</v>
      </c>
      <c r="B159" s="15" t="str">
        <f>tbl_devices!A11</f>
        <v>HH1-RACK-T15-TEST_C1-ACC_SW-01</v>
      </c>
      <c r="C159" s="14" t="b">
        <v>1</v>
      </c>
      <c r="D159" s="15" t="s">
        <v>55</v>
      </c>
      <c r="E159" s="15" t="s">
        <v>61</v>
      </c>
      <c r="F159" s="15" t="s">
        <v>62</v>
      </c>
      <c r="G159" s="14">
        <v>20</v>
      </c>
      <c r="I159" s="15" t="s">
        <v>63</v>
      </c>
    </row>
    <row r="160" spans="1:9">
      <c r="A160" s="15" t="s">
        <v>76</v>
      </c>
      <c r="B160" s="15" t="str">
        <f>tbl_devices!A11</f>
        <v>HH1-RACK-T15-TEST_C1-ACC_SW-01</v>
      </c>
      <c r="C160" s="14" t="b">
        <v>1</v>
      </c>
      <c r="D160" s="15" t="s">
        <v>55</v>
      </c>
      <c r="E160" s="15" t="s">
        <v>61</v>
      </c>
      <c r="F160" s="15" t="s">
        <v>62</v>
      </c>
      <c r="G160" s="14">
        <v>20</v>
      </c>
      <c r="I160" s="15" t="s">
        <v>63</v>
      </c>
    </row>
    <row r="161" spans="1:9">
      <c r="A161" s="15" t="s">
        <v>77</v>
      </c>
      <c r="B161" s="15" t="str">
        <f>tbl_devices!A11</f>
        <v>HH1-RACK-T15-TEST_C1-ACC_SW-01</v>
      </c>
      <c r="C161" s="14" t="b">
        <v>1</v>
      </c>
      <c r="D161" s="15" t="s">
        <v>78</v>
      </c>
      <c r="E161" s="15" t="s">
        <v>79</v>
      </c>
      <c r="F161" s="15" t="s">
        <v>79</v>
      </c>
      <c r="I161" s="15" t="s">
        <v>79</v>
      </c>
    </row>
    <row r="162" spans="1:9">
      <c r="A162" s="15" t="s">
        <v>80</v>
      </c>
      <c r="B162" s="15" t="str">
        <f>tbl_devices!A11</f>
        <v>HH1-RACK-T15-TEST_C1-ACC_SW-01</v>
      </c>
      <c r="C162" s="14" t="b">
        <v>1</v>
      </c>
      <c r="D162" s="15" t="s">
        <v>78</v>
      </c>
      <c r="E162" s="15" t="s">
        <v>79</v>
      </c>
      <c r="F162" s="15" t="s">
        <v>79</v>
      </c>
      <c r="I162" s="15" t="s">
        <v>79</v>
      </c>
    </row>
    <row r="163" spans="1:9">
      <c r="A163" s="15" t="s">
        <v>54</v>
      </c>
      <c r="B163" s="15" t="str">
        <f>tbl_devices!A2</f>
        <v>CCTV-MRACK-TEST_C1-CORE_SW-01</v>
      </c>
      <c r="C163" s="14" t="b">
        <v>1</v>
      </c>
      <c r="D163" s="15" t="s">
        <v>55</v>
      </c>
      <c r="E163" s="15" t="s">
        <v>82</v>
      </c>
      <c r="F163" s="15" t="s">
        <v>57</v>
      </c>
      <c r="H163" s="16" t="s">
        <v>127</v>
      </c>
      <c r="I163" s="15" t="s">
        <v>59</v>
      </c>
    </row>
    <row r="164" spans="1:9">
      <c r="A164" s="15" t="s">
        <v>58</v>
      </c>
      <c r="B164" s="15" t="str">
        <f>tbl_devices!A2</f>
        <v>CCTV-MRACK-TEST_C1-CORE_SW-01</v>
      </c>
      <c r="C164" s="14" t="b">
        <v>1</v>
      </c>
      <c r="D164" s="15" t="s">
        <v>55</v>
      </c>
      <c r="E164" s="15" t="s">
        <v>82</v>
      </c>
      <c r="F164" s="15" t="s">
        <v>57</v>
      </c>
      <c r="H164" s="16" t="s">
        <v>127</v>
      </c>
      <c r="I164" s="15" t="s">
        <v>59</v>
      </c>
    </row>
    <row r="165" spans="1:9">
      <c r="A165" s="15" t="s">
        <v>60</v>
      </c>
      <c r="B165" s="15" t="str">
        <f>tbl_devices!A2</f>
        <v>CCTV-MRACK-TEST_C1-CORE_SW-01</v>
      </c>
      <c r="C165" s="14" t="b">
        <v>1</v>
      </c>
      <c r="D165" s="15" t="s">
        <v>55</v>
      </c>
      <c r="E165" s="15" t="s">
        <v>82</v>
      </c>
      <c r="F165" s="15" t="s">
        <v>57</v>
      </c>
      <c r="H165" s="16" t="s">
        <v>127</v>
      </c>
      <c r="I165" s="15" t="s">
        <v>59</v>
      </c>
    </row>
    <row r="166" spans="1:9">
      <c r="A166" s="15" t="s">
        <v>64</v>
      </c>
      <c r="B166" s="15" t="str">
        <f>tbl_devices!A2</f>
        <v>CCTV-MRACK-TEST_C1-CORE_SW-01</v>
      </c>
      <c r="C166" s="14" t="b">
        <v>1</v>
      </c>
      <c r="D166" s="15" t="s">
        <v>55</v>
      </c>
      <c r="E166" s="15" t="s">
        <v>82</v>
      </c>
      <c r="F166" s="15" t="s">
        <v>57</v>
      </c>
      <c r="H166" s="16" t="s">
        <v>127</v>
      </c>
      <c r="I166" s="15" t="s">
        <v>59</v>
      </c>
    </row>
    <row r="167" spans="1:9">
      <c r="A167" s="15" t="s">
        <v>65</v>
      </c>
      <c r="B167" s="15" t="str">
        <f>tbl_devices!A2</f>
        <v>CCTV-MRACK-TEST_C1-CORE_SW-01</v>
      </c>
      <c r="C167" s="14" t="b">
        <v>1</v>
      </c>
      <c r="D167" s="15" t="s">
        <v>55</v>
      </c>
      <c r="E167" s="15" t="s">
        <v>82</v>
      </c>
      <c r="F167" s="15" t="s">
        <v>57</v>
      </c>
      <c r="H167" s="16" t="s">
        <v>127</v>
      </c>
      <c r="I167" s="15" t="s">
        <v>59</v>
      </c>
    </row>
    <row r="168" spans="1:9">
      <c r="A168" s="15" t="s">
        <v>66</v>
      </c>
      <c r="B168" s="15" t="str">
        <f>tbl_devices!A2</f>
        <v>CCTV-MRACK-TEST_C1-CORE_SW-01</v>
      </c>
      <c r="C168" s="14" t="b">
        <v>1</v>
      </c>
      <c r="D168" s="15" t="s">
        <v>55</v>
      </c>
      <c r="E168" s="15" t="s">
        <v>82</v>
      </c>
      <c r="F168" s="15" t="s">
        <v>57</v>
      </c>
      <c r="H168" s="16" t="s">
        <v>127</v>
      </c>
      <c r="I168" s="15" t="s">
        <v>59</v>
      </c>
    </row>
    <row r="169" spans="1:9">
      <c r="A169" s="15" t="s">
        <v>67</v>
      </c>
      <c r="B169" s="15" t="str">
        <f>tbl_devices!A2</f>
        <v>CCTV-MRACK-TEST_C1-CORE_SW-01</v>
      </c>
      <c r="C169" s="14" t="b">
        <v>1</v>
      </c>
      <c r="D169" s="15" t="s">
        <v>55</v>
      </c>
      <c r="E169" s="15" t="s">
        <v>82</v>
      </c>
      <c r="F169" s="15" t="s">
        <v>57</v>
      </c>
      <c r="H169" s="16" t="s">
        <v>127</v>
      </c>
      <c r="I169" s="15" t="s">
        <v>59</v>
      </c>
    </row>
    <row r="170" spans="1:9">
      <c r="A170" s="15" t="s">
        <v>68</v>
      </c>
      <c r="B170" s="15" t="str">
        <f>tbl_devices!A2</f>
        <v>CCTV-MRACK-TEST_C1-CORE_SW-01</v>
      </c>
      <c r="C170" s="14" t="b">
        <v>1</v>
      </c>
      <c r="D170" s="15" t="s">
        <v>55</v>
      </c>
      <c r="E170" s="15" t="s">
        <v>82</v>
      </c>
      <c r="F170" s="15" t="s">
        <v>57</v>
      </c>
      <c r="H170" s="16" t="s">
        <v>127</v>
      </c>
      <c r="I170" s="15" t="s">
        <v>59</v>
      </c>
    </row>
    <row r="171" spans="1:9">
      <c r="A171" s="15" t="s">
        <v>69</v>
      </c>
      <c r="B171" s="15" t="str">
        <f>tbl_devices!A2</f>
        <v>CCTV-MRACK-TEST_C1-CORE_SW-01</v>
      </c>
      <c r="C171" s="14" t="b">
        <v>1</v>
      </c>
      <c r="D171" s="15" t="s">
        <v>55</v>
      </c>
      <c r="E171" s="15" t="s">
        <v>82</v>
      </c>
      <c r="F171" s="15" t="s">
        <v>57</v>
      </c>
      <c r="H171" s="16" t="s">
        <v>127</v>
      </c>
      <c r="I171" s="15" t="s">
        <v>59</v>
      </c>
    </row>
    <row r="172" spans="1:9">
      <c r="A172" s="15" t="s">
        <v>70</v>
      </c>
      <c r="B172" s="15" t="str">
        <f>tbl_devices!A2</f>
        <v>CCTV-MRACK-TEST_C1-CORE_SW-01</v>
      </c>
      <c r="C172" s="14" t="b">
        <v>1</v>
      </c>
      <c r="D172" s="15" t="s">
        <v>55</v>
      </c>
      <c r="E172" s="15" t="s">
        <v>82</v>
      </c>
      <c r="F172" s="15" t="s">
        <v>57</v>
      </c>
      <c r="H172" s="16" t="s">
        <v>127</v>
      </c>
      <c r="I172" s="15" t="s">
        <v>59</v>
      </c>
    </row>
    <row r="173" spans="1:9">
      <c r="A173" s="15" t="s">
        <v>71</v>
      </c>
      <c r="B173" s="15" t="str">
        <f>tbl_devices!A2</f>
        <v>CCTV-MRACK-TEST_C1-CORE_SW-01</v>
      </c>
      <c r="C173" s="14" t="b">
        <v>1</v>
      </c>
      <c r="D173" s="15" t="s">
        <v>55</v>
      </c>
      <c r="E173" s="15" t="s">
        <v>82</v>
      </c>
      <c r="F173" s="15" t="s">
        <v>57</v>
      </c>
      <c r="H173" s="16" t="s">
        <v>127</v>
      </c>
      <c r="I173" s="15" t="s">
        <v>59</v>
      </c>
    </row>
    <row r="174" spans="1:9">
      <c r="A174" s="15" t="s">
        <v>72</v>
      </c>
      <c r="B174" s="15" t="str">
        <f>tbl_devices!A2</f>
        <v>CCTV-MRACK-TEST_C1-CORE_SW-01</v>
      </c>
      <c r="C174" s="14" t="b">
        <v>1</v>
      </c>
      <c r="D174" s="15" t="s">
        <v>55</v>
      </c>
      <c r="E174" s="15" t="s">
        <v>82</v>
      </c>
      <c r="F174" s="15" t="s">
        <v>57</v>
      </c>
      <c r="H174" s="16" t="s">
        <v>127</v>
      </c>
      <c r="I174" s="15" t="s">
        <v>59</v>
      </c>
    </row>
    <row r="175" spans="1:9">
      <c r="A175" s="15" t="s">
        <v>73</v>
      </c>
      <c r="B175" s="15" t="str">
        <f>tbl_devices!A2</f>
        <v>CCTV-MRACK-TEST_C1-CORE_SW-01</v>
      </c>
      <c r="C175" s="14" t="b">
        <v>1</v>
      </c>
      <c r="D175" s="15" t="s">
        <v>55</v>
      </c>
      <c r="E175" s="15" t="s">
        <v>82</v>
      </c>
      <c r="F175" s="15" t="s">
        <v>57</v>
      </c>
      <c r="H175" s="16" t="s">
        <v>127</v>
      </c>
      <c r="I175" s="15" t="s">
        <v>59</v>
      </c>
    </row>
    <row r="176" spans="1:9">
      <c r="A176" s="15" t="s">
        <v>74</v>
      </c>
      <c r="B176" s="15" t="str">
        <f>tbl_devices!A2</f>
        <v>CCTV-MRACK-TEST_C1-CORE_SW-01</v>
      </c>
      <c r="C176" s="14" t="b">
        <v>1</v>
      </c>
      <c r="D176" s="15" t="s">
        <v>55</v>
      </c>
      <c r="E176" s="15" t="s">
        <v>82</v>
      </c>
      <c r="F176" s="15" t="s">
        <v>57</v>
      </c>
      <c r="H176" s="16" t="s">
        <v>127</v>
      </c>
      <c r="I176" s="15" t="s">
        <v>59</v>
      </c>
    </row>
    <row r="177" spans="1:9">
      <c r="A177" s="15" t="s">
        <v>75</v>
      </c>
      <c r="B177" s="15" t="str">
        <f>tbl_devices!A2</f>
        <v>CCTV-MRACK-TEST_C1-CORE_SW-01</v>
      </c>
      <c r="C177" s="14" t="b">
        <v>1</v>
      </c>
      <c r="D177" s="15" t="s">
        <v>55</v>
      </c>
      <c r="E177" s="15" t="s">
        <v>82</v>
      </c>
      <c r="F177" s="15" t="s">
        <v>57</v>
      </c>
      <c r="H177" s="16" t="s">
        <v>127</v>
      </c>
      <c r="I177" s="15" t="s">
        <v>59</v>
      </c>
    </row>
    <row r="178" spans="1:9">
      <c r="A178" s="15" t="s">
        <v>76</v>
      </c>
      <c r="B178" s="15" t="str">
        <f>tbl_devices!A2</f>
        <v>CCTV-MRACK-TEST_C1-CORE_SW-01</v>
      </c>
      <c r="C178" s="14" t="b">
        <v>1</v>
      </c>
      <c r="D178" s="15" t="s">
        <v>55</v>
      </c>
      <c r="E178" s="15" t="s">
        <v>82</v>
      </c>
      <c r="F178" s="15" t="s">
        <v>57</v>
      </c>
      <c r="H178" s="16" t="s">
        <v>127</v>
      </c>
      <c r="I178" s="15" t="s">
        <v>59</v>
      </c>
    </row>
    <row r="179" spans="1:9">
      <c r="A179" s="15" t="s">
        <v>77</v>
      </c>
      <c r="B179" s="15" t="str">
        <f>tbl_devices!A2</f>
        <v>CCTV-MRACK-TEST_C1-CORE_SW-01</v>
      </c>
      <c r="C179" s="14" t="b">
        <v>1</v>
      </c>
      <c r="D179" s="15" t="s">
        <v>78</v>
      </c>
      <c r="E179" s="15" t="s">
        <v>79</v>
      </c>
      <c r="F179" s="15" t="s">
        <v>79</v>
      </c>
      <c r="I179" s="15" t="s">
        <v>79</v>
      </c>
    </row>
    <row r="180" spans="1:9">
      <c r="A180" s="15" t="s">
        <v>80</v>
      </c>
      <c r="B180" s="15" t="str">
        <f>tbl_devices!A2</f>
        <v>CCTV-MRACK-TEST_C1-CORE_SW-01</v>
      </c>
      <c r="C180" s="14" t="b">
        <v>1</v>
      </c>
      <c r="D180" s="15" t="s">
        <v>78</v>
      </c>
      <c r="E180" s="15" t="s">
        <v>79</v>
      </c>
      <c r="F180" s="15" t="s">
        <v>79</v>
      </c>
      <c r="I180" s="15" t="s">
        <v>79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21"/>
  <sheetViews>
    <sheetView workbookViewId="0">
      <selection activeCell="G5" sqref="G5"/>
    </sheetView>
  </sheetViews>
  <sheetFormatPr defaultColWidth="9" defaultRowHeight="14.4"/>
  <cols>
    <col min="1" max="1" width="15.5546875" style="20" customWidth="1"/>
    <col min="2" max="2" width="8.21875" style="20" customWidth="1"/>
    <col min="3" max="3" width="10.6640625" style="20" customWidth="1"/>
    <col min="4" max="4" width="31.77734375" style="20" bestFit="1" customWidth="1"/>
    <col min="5" max="5" width="12" style="20" customWidth="1"/>
    <col min="6" max="16384" width="9" style="20"/>
  </cols>
  <sheetData>
    <row r="1" spans="1:5">
      <c r="A1" s="20" t="s">
        <v>83</v>
      </c>
      <c r="B1" s="20" t="s">
        <v>4</v>
      </c>
      <c r="C1" s="20" t="s">
        <v>84</v>
      </c>
      <c r="D1" s="20" t="s">
        <v>47</v>
      </c>
      <c r="E1" s="20" t="s">
        <v>85</v>
      </c>
    </row>
    <row r="2" spans="1:5">
      <c r="A2" s="21" t="s">
        <v>86</v>
      </c>
      <c r="B2" s="21" t="s">
        <v>8</v>
      </c>
      <c r="C2" s="21" t="s">
        <v>80</v>
      </c>
      <c r="D2" s="22" t="str">
        <f>tbl_devices!A2</f>
        <v>CCTV-MRACK-TEST_C1-CORE_SW-01</v>
      </c>
      <c r="E2" s="20" t="b">
        <v>1</v>
      </c>
    </row>
    <row r="3" spans="1:5">
      <c r="A3" s="21" t="s">
        <v>87</v>
      </c>
      <c r="B3" s="21" t="s">
        <v>8</v>
      </c>
      <c r="C3" s="21" t="s">
        <v>80</v>
      </c>
      <c r="D3" s="22" t="str">
        <f>tbl_devices!A3</f>
        <v>HH1-RACK-B1-TEST_C1-ACC_SW-01</v>
      </c>
      <c r="E3" s="20" t="b">
        <v>1</v>
      </c>
    </row>
    <row r="4" spans="1:5">
      <c r="A4" s="21" t="s">
        <v>88</v>
      </c>
      <c r="B4" s="21" t="s">
        <v>8</v>
      </c>
      <c r="C4" s="21" t="s">
        <v>80</v>
      </c>
      <c r="D4" s="22" t="str">
        <f>tbl_devices!A4</f>
        <v>RACK-CA-H-1-TEST_C1-ACC_SW-01</v>
      </c>
      <c r="E4" s="20" t="b">
        <v>1</v>
      </c>
    </row>
    <row r="5" spans="1:5">
      <c r="A5" s="21" t="s">
        <v>89</v>
      </c>
      <c r="B5" s="21" t="s">
        <v>8</v>
      </c>
      <c r="C5" s="21" t="s">
        <v>80</v>
      </c>
      <c r="D5" s="22" t="str">
        <f>tbl_devices!A5</f>
        <v>RACK-CA-H-1-TEST_C1-ACC_SW-02</v>
      </c>
      <c r="E5" s="20" t="b">
        <v>1</v>
      </c>
    </row>
    <row r="6" spans="1:5">
      <c r="A6" s="21" t="s">
        <v>90</v>
      </c>
      <c r="B6" s="21" t="s">
        <v>8</v>
      </c>
      <c r="C6" s="21" t="s">
        <v>80</v>
      </c>
      <c r="D6" s="22" t="str">
        <f>tbl_devices!A6</f>
        <v>RACK-CA-H-2-TEST_C1-ACC_SW-01</v>
      </c>
      <c r="E6" s="20" t="b">
        <v>1</v>
      </c>
    </row>
    <row r="7" spans="1:5">
      <c r="A7" s="21" t="s">
        <v>91</v>
      </c>
      <c r="B7" s="21" t="s">
        <v>8</v>
      </c>
      <c r="C7" s="21" t="s">
        <v>80</v>
      </c>
      <c r="D7" s="22" t="str">
        <f>tbl_devices!A7</f>
        <v>HH1-RACK-T5-TEST_C1-ACC_SW-01</v>
      </c>
      <c r="E7" s="20" t="b">
        <v>1</v>
      </c>
    </row>
    <row r="8" spans="1:5">
      <c r="A8" s="21" t="s">
        <v>92</v>
      </c>
      <c r="B8" s="21" t="s">
        <v>8</v>
      </c>
      <c r="C8" s="21" t="s">
        <v>80</v>
      </c>
      <c r="D8" s="22" t="str">
        <f>tbl_devices!A8</f>
        <v>HH1-RACK-T10-TEST_C1-ACC_SW-01</v>
      </c>
      <c r="E8" s="20" t="b">
        <v>1</v>
      </c>
    </row>
    <row r="9" spans="1:5">
      <c r="A9" s="21" t="s">
        <v>93</v>
      </c>
      <c r="B9" s="21" t="s">
        <v>8</v>
      </c>
      <c r="C9" s="21" t="s">
        <v>80</v>
      </c>
      <c r="D9" s="22" t="str">
        <f>tbl_devices!A9</f>
        <v>HH1-RACK-T19-TEST_C1-ACC_SW-01</v>
      </c>
      <c r="E9" s="20" t="b">
        <v>1</v>
      </c>
    </row>
    <row r="10" spans="1:5">
      <c r="A10" s="21" t="s">
        <v>94</v>
      </c>
      <c r="B10" s="21" t="s">
        <v>8</v>
      </c>
      <c r="C10" s="21" t="s">
        <v>80</v>
      </c>
      <c r="D10" s="22" t="str">
        <f>tbl_devices!A10</f>
        <v>CCTV-MRACK-TEST_C1-ACC_SW-02</v>
      </c>
      <c r="E10" s="20" t="b">
        <v>1</v>
      </c>
    </row>
    <row r="11" spans="1:5">
      <c r="A11" s="21" t="s">
        <v>95</v>
      </c>
      <c r="B11" s="21" t="s">
        <v>8</v>
      </c>
      <c r="C11" s="21" t="s">
        <v>80</v>
      </c>
      <c r="D11" s="22" t="str">
        <f>tbl_devices!A11</f>
        <v>HH1-RACK-T15-TEST_C1-ACC_SW-01</v>
      </c>
      <c r="E11" s="20" t="b">
        <v>1</v>
      </c>
    </row>
    <row r="12" spans="1:5">
      <c r="A12" s="22" t="s">
        <v>117</v>
      </c>
      <c r="B12" s="21" t="s">
        <v>8</v>
      </c>
      <c r="C12" s="22" t="s">
        <v>77</v>
      </c>
      <c r="D12" s="22" t="str">
        <f>tbl_devices!A2</f>
        <v>CCTV-MRACK-TEST_C1-CORE_SW-01</v>
      </c>
      <c r="E12" s="20" t="b">
        <v>1</v>
      </c>
    </row>
    <row r="13" spans="1:5">
      <c r="A13" s="22" t="s">
        <v>118</v>
      </c>
      <c r="B13" s="21" t="s">
        <v>8</v>
      </c>
      <c r="C13" s="22" t="s">
        <v>77</v>
      </c>
      <c r="D13" s="22" t="str">
        <f>tbl_devices!A3</f>
        <v>HH1-RACK-B1-TEST_C1-ACC_SW-01</v>
      </c>
      <c r="E13" s="20" t="b">
        <v>1</v>
      </c>
    </row>
    <row r="14" spans="1:5">
      <c r="A14" s="22" t="s">
        <v>119</v>
      </c>
      <c r="B14" s="21" t="s">
        <v>8</v>
      </c>
      <c r="C14" s="22" t="s">
        <v>77</v>
      </c>
      <c r="D14" s="22" t="str">
        <f>tbl_devices!A4</f>
        <v>RACK-CA-H-1-TEST_C1-ACC_SW-01</v>
      </c>
      <c r="E14" s="20" t="b">
        <v>1</v>
      </c>
    </row>
    <row r="15" spans="1:5">
      <c r="A15" s="22" t="s">
        <v>120</v>
      </c>
      <c r="B15" s="21" t="s">
        <v>8</v>
      </c>
      <c r="C15" s="22" t="s">
        <v>77</v>
      </c>
      <c r="D15" s="22" t="str">
        <f>tbl_devices!A5</f>
        <v>RACK-CA-H-1-TEST_C1-ACC_SW-02</v>
      </c>
      <c r="E15" s="20" t="b">
        <v>1</v>
      </c>
    </row>
    <row r="16" spans="1:5">
      <c r="A16" s="22" t="s">
        <v>121</v>
      </c>
      <c r="B16" s="21" t="s">
        <v>8</v>
      </c>
      <c r="C16" s="22" t="s">
        <v>77</v>
      </c>
      <c r="D16" s="22" t="str">
        <f>tbl_devices!A6</f>
        <v>RACK-CA-H-2-TEST_C1-ACC_SW-01</v>
      </c>
      <c r="E16" s="20" t="b">
        <v>1</v>
      </c>
    </row>
    <row r="17" spans="1:5">
      <c r="A17" s="22" t="s">
        <v>122</v>
      </c>
      <c r="B17" s="21" t="s">
        <v>8</v>
      </c>
      <c r="C17" s="22" t="s">
        <v>77</v>
      </c>
      <c r="D17" s="22" t="str">
        <f>tbl_devices!A7</f>
        <v>HH1-RACK-T5-TEST_C1-ACC_SW-01</v>
      </c>
      <c r="E17" s="20" t="b">
        <v>1</v>
      </c>
    </row>
    <row r="18" spans="1:5">
      <c r="A18" s="22" t="s">
        <v>123</v>
      </c>
      <c r="B18" s="21" t="s">
        <v>8</v>
      </c>
      <c r="C18" s="22" t="s">
        <v>77</v>
      </c>
      <c r="D18" s="22" t="str">
        <f>tbl_devices!A8</f>
        <v>HH1-RACK-T10-TEST_C1-ACC_SW-01</v>
      </c>
      <c r="E18" s="20" t="b">
        <v>1</v>
      </c>
    </row>
    <row r="19" spans="1:5">
      <c r="A19" s="22" t="s">
        <v>124</v>
      </c>
      <c r="B19" s="21" t="s">
        <v>8</v>
      </c>
      <c r="C19" s="22" t="s">
        <v>77</v>
      </c>
      <c r="D19" s="22" t="str">
        <f>tbl_devices!A9</f>
        <v>HH1-RACK-T19-TEST_C1-ACC_SW-01</v>
      </c>
      <c r="E19" s="20" t="b">
        <v>1</v>
      </c>
    </row>
    <row r="20" spans="1:5">
      <c r="A20" s="22" t="s">
        <v>125</v>
      </c>
      <c r="B20" s="22" t="s">
        <v>8</v>
      </c>
      <c r="C20" s="22" t="s">
        <v>77</v>
      </c>
      <c r="D20" s="22" t="str">
        <f>tbl_devices!A10</f>
        <v>CCTV-MRACK-TEST_C1-ACC_SW-02</v>
      </c>
      <c r="E20" s="20" t="b">
        <v>1</v>
      </c>
    </row>
    <row r="21" spans="1:5">
      <c r="A21" s="22" t="s">
        <v>126</v>
      </c>
      <c r="B21" s="21" t="s">
        <v>8</v>
      </c>
      <c r="C21" s="22" t="s">
        <v>77</v>
      </c>
      <c r="D21" s="22" t="str">
        <f>tbl_devices!A11</f>
        <v>HH1-RACK-T15-TEST_C1-ACC_SW-01</v>
      </c>
      <c r="E21" s="20" t="b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9"/>
  <sheetViews>
    <sheetView tabSelected="1" workbookViewId="0">
      <selection activeCell="J8" sqref="J8"/>
    </sheetView>
  </sheetViews>
  <sheetFormatPr defaultColWidth="9" defaultRowHeight="14.4"/>
  <cols>
    <col min="1" max="1" width="12.77734375" style="20" customWidth="1"/>
    <col min="2" max="2" width="31.77734375" style="20" bestFit="1" customWidth="1"/>
    <col min="3" max="3" width="11.77734375" style="20" customWidth="1"/>
    <col min="4" max="4" width="12.77734375" style="20" customWidth="1"/>
    <col min="5" max="5" width="30.33203125" style="20" bestFit="1" customWidth="1"/>
    <col min="6" max="6" width="11.77734375" style="20" customWidth="1"/>
    <col min="7" max="7" width="10.77734375" style="20" customWidth="1"/>
    <col min="8" max="8" width="49.5546875" style="20" bestFit="1" customWidth="1"/>
    <col min="9" max="16384" width="9" style="20"/>
  </cols>
  <sheetData>
    <row r="1" spans="1:8">
      <c r="A1" s="21" t="s">
        <v>96</v>
      </c>
      <c r="B1" s="21" t="s">
        <v>97</v>
      </c>
      <c r="C1" s="21" t="s">
        <v>98</v>
      </c>
      <c r="D1" s="21" t="s">
        <v>99</v>
      </c>
      <c r="E1" s="21" t="s">
        <v>100</v>
      </c>
      <c r="F1" s="21" t="s">
        <v>101</v>
      </c>
      <c r="G1" s="21" t="s">
        <v>4</v>
      </c>
      <c r="H1" s="21" t="s">
        <v>1</v>
      </c>
    </row>
    <row r="2" spans="1:8">
      <c r="A2" s="21" t="s">
        <v>102</v>
      </c>
      <c r="B2" s="22" t="str">
        <f>tbl_devices!A2</f>
        <v>CCTV-MRACK-TEST_C1-CORE_SW-01</v>
      </c>
      <c r="C2" s="21" t="s">
        <v>54</v>
      </c>
      <c r="D2" s="21" t="s">
        <v>102</v>
      </c>
      <c r="E2" s="22" t="str">
        <f>tbl_devices!A3</f>
        <v>HH1-RACK-B1-TEST_C1-ACC_SW-01</v>
      </c>
      <c r="F2" s="22" t="s">
        <v>54</v>
      </c>
      <c r="G2" s="21" t="s">
        <v>103</v>
      </c>
      <c r="H2" s="21" t="str">
        <f>"DOWNLINK | "&amp;E2&amp;" | "&amp;F2&amp;""</f>
        <v>DOWNLINK | HH1-RACK-B1-TEST_C1-ACC_SW-01 | Et0/0</v>
      </c>
    </row>
    <row r="3" spans="1:8">
      <c r="A3" s="21" t="s">
        <v>102</v>
      </c>
      <c r="B3" s="21" t="str">
        <f>tbl_devices!A2</f>
        <v>CCTV-MRACK-TEST_C1-CORE_SW-01</v>
      </c>
      <c r="C3" s="21" t="s">
        <v>58</v>
      </c>
      <c r="D3" s="21" t="s">
        <v>102</v>
      </c>
      <c r="E3" s="21" t="str">
        <f>tbl_devices!A3</f>
        <v>HH1-RACK-B1-TEST_C1-ACC_SW-01</v>
      </c>
      <c r="F3" s="21" t="s">
        <v>58</v>
      </c>
      <c r="G3" s="21" t="s">
        <v>103</v>
      </c>
      <c r="H3" s="21" t="str">
        <f>"DOWNLINK | "&amp;E3&amp;" | "&amp;F3&amp;""</f>
        <v>DOWNLINK | HH1-RACK-B1-TEST_C1-ACC_SW-01 | Et0/1</v>
      </c>
    </row>
    <row r="4" spans="1:8">
      <c r="A4" s="21" t="s">
        <v>102</v>
      </c>
      <c r="B4" s="21" t="str">
        <f>tbl_devices!A2</f>
        <v>CCTV-MRACK-TEST_C1-CORE_SW-01</v>
      </c>
      <c r="C4" s="21" t="s">
        <v>60</v>
      </c>
      <c r="D4" s="21" t="s">
        <v>102</v>
      </c>
      <c r="E4" s="22" t="str">
        <f>tbl_devices!A4</f>
        <v>RACK-CA-H-1-TEST_C1-ACC_SW-01</v>
      </c>
      <c r="F4" s="21" t="s">
        <v>54</v>
      </c>
      <c r="G4" s="21" t="s">
        <v>103</v>
      </c>
      <c r="H4" s="21" t="str">
        <f t="shared" ref="H4:H19" si="0">"DOWNLINK | "&amp;E4&amp;" | "&amp;F4&amp;""</f>
        <v>DOWNLINK | RACK-CA-H-1-TEST_C1-ACC_SW-01 | Et0/0</v>
      </c>
    </row>
    <row r="5" spans="1:8">
      <c r="A5" s="21" t="s">
        <v>102</v>
      </c>
      <c r="B5" s="21" t="str">
        <f>tbl_devices!A2</f>
        <v>CCTV-MRACK-TEST_C1-CORE_SW-01</v>
      </c>
      <c r="C5" s="21" t="s">
        <v>64</v>
      </c>
      <c r="D5" s="21" t="s">
        <v>102</v>
      </c>
      <c r="E5" s="22" t="str">
        <f>tbl_devices!A4</f>
        <v>RACK-CA-H-1-TEST_C1-ACC_SW-01</v>
      </c>
      <c r="F5" s="21" t="s">
        <v>58</v>
      </c>
      <c r="G5" s="21" t="s">
        <v>103</v>
      </c>
      <c r="H5" s="21" t="str">
        <f t="shared" si="0"/>
        <v>DOWNLINK | RACK-CA-H-1-TEST_C1-ACC_SW-01 | Et0/1</v>
      </c>
    </row>
    <row r="6" spans="1:8">
      <c r="A6" s="21" t="s">
        <v>102</v>
      </c>
      <c r="B6" s="21" t="str">
        <f>tbl_devices!A2</f>
        <v>CCTV-MRACK-TEST_C1-CORE_SW-01</v>
      </c>
      <c r="C6" s="21" t="s">
        <v>65</v>
      </c>
      <c r="D6" s="21" t="s">
        <v>102</v>
      </c>
      <c r="E6" s="21" t="str">
        <f>tbl_devices!A6</f>
        <v>RACK-CA-H-2-TEST_C1-ACC_SW-01</v>
      </c>
      <c r="F6" s="21" t="s">
        <v>54</v>
      </c>
      <c r="G6" s="21" t="s">
        <v>103</v>
      </c>
      <c r="H6" s="21" t="str">
        <f t="shared" si="0"/>
        <v>DOWNLINK | RACK-CA-H-2-TEST_C1-ACC_SW-01 | Et0/0</v>
      </c>
    </row>
    <row r="7" spans="1:8">
      <c r="A7" s="21" t="s">
        <v>102</v>
      </c>
      <c r="B7" s="21" t="str">
        <f>tbl_devices!A2</f>
        <v>CCTV-MRACK-TEST_C1-CORE_SW-01</v>
      </c>
      <c r="C7" s="21" t="s">
        <v>66</v>
      </c>
      <c r="D7" s="21" t="s">
        <v>102</v>
      </c>
      <c r="E7" s="21" t="str">
        <f>tbl_devices!A6</f>
        <v>RACK-CA-H-2-TEST_C1-ACC_SW-01</v>
      </c>
      <c r="F7" s="21" t="s">
        <v>58</v>
      </c>
      <c r="G7" s="21" t="s">
        <v>103</v>
      </c>
      <c r="H7" s="21" t="str">
        <f t="shared" si="0"/>
        <v>DOWNLINK | RACK-CA-H-2-TEST_C1-ACC_SW-01 | Et0/1</v>
      </c>
    </row>
    <row r="8" spans="1:8">
      <c r="A8" s="21" t="s">
        <v>102</v>
      </c>
      <c r="B8" s="21" t="str">
        <f>tbl_devices!A2</f>
        <v>CCTV-MRACK-TEST_C1-CORE_SW-01</v>
      </c>
      <c r="C8" s="21" t="s">
        <v>67</v>
      </c>
      <c r="D8" s="21" t="s">
        <v>102</v>
      </c>
      <c r="E8" s="21" t="str">
        <f>tbl_devices!A7</f>
        <v>HH1-RACK-T5-TEST_C1-ACC_SW-01</v>
      </c>
      <c r="F8" s="21" t="s">
        <v>54</v>
      </c>
      <c r="G8" s="21" t="s">
        <v>103</v>
      </c>
      <c r="H8" s="21" t="str">
        <f t="shared" si="0"/>
        <v>DOWNLINK | HH1-RACK-T5-TEST_C1-ACC_SW-01 | Et0/0</v>
      </c>
    </row>
    <row r="9" spans="1:8">
      <c r="A9" s="21" t="s">
        <v>102</v>
      </c>
      <c r="B9" s="21" t="str">
        <f>tbl_devices!A2</f>
        <v>CCTV-MRACK-TEST_C1-CORE_SW-01</v>
      </c>
      <c r="C9" s="21" t="s">
        <v>68</v>
      </c>
      <c r="D9" s="21" t="s">
        <v>102</v>
      </c>
      <c r="E9" s="21" t="str">
        <f>tbl_devices!A7</f>
        <v>HH1-RACK-T5-TEST_C1-ACC_SW-01</v>
      </c>
      <c r="F9" s="21" t="s">
        <v>58</v>
      </c>
      <c r="G9" s="21" t="s">
        <v>103</v>
      </c>
      <c r="H9" s="21" t="str">
        <f t="shared" si="0"/>
        <v>DOWNLINK | HH1-RACK-T5-TEST_C1-ACC_SW-01 | Et0/1</v>
      </c>
    </row>
    <row r="10" spans="1:8">
      <c r="A10" s="21" t="s">
        <v>102</v>
      </c>
      <c r="B10" s="21" t="str">
        <f>tbl_devices!A2</f>
        <v>CCTV-MRACK-TEST_C1-CORE_SW-01</v>
      </c>
      <c r="C10" s="21" t="s">
        <v>71</v>
      </c>
      <c r="D10" s="21" t="s">
        <v>102</v>
      </c>
      <c r="E10" s="21" t="str">
        <f>tbl_devices!A8</f>
        <v>HH1-RACK-T10-TEST_C1-ACC_SW-01</v>
      </c>
      <c r="F10" s="21" t="s">
        <v>54</v>
      </c>
      <c r="G10" s="21" t="s">
        <v>103</v>
      </c>
      <c r="H10" s="21" t="str">
        <f t="shared" si="0"/>
        <v>DOWNLINK | HH1-RACK-T10-TEST_C1-ACC_SW-01 | Et0/0</v>
      </c>
    </row>
    <row r="11" spans="1:8">
      <c r="A11" s="21" t="s">
        <v>102</v>
      </c>
      <c r="B11" s="21" t="str">
        <f>tbl_devices!A2</f>
        <v>CCTV-MRACK-TEST_C1-CORE_SW-01</v>
      </c>
      <c r="C11" s="21" t="s">
        <v>72</v>
      </c>
      <c r="D11" s="21" t="s">
        <v>102</v>
      </c>
      <c r="E11" s="21" t="str">
        <f>tbl_devices!A8</f>
        <v>HH1-RACK-T10-TEST_C1-ACC_SW-01</v>
      </c>
      <c r="F11" s="21" t="s">
        <v>58</v>
      </c>
      <c r="G11" s="21" t="s">
        <v>103</v>
      </c>
      <c r="H11" s="21" t="str">
        <f t="shared" si="0"/>
        <v>DOWNLINK | HH1-RACK-T10-TEST_C1-ACC_SW-01 | Et0/1</v>
      </c>
    </row>
    <row r="12" spans="1:8">
      <c r="A12" s="21" t="s">
        <v>102</v>
      </c>
      <c r="B12" s="21" t="str">
        <f>tbl_devices!A2</f>
        <v>CCTV-MRACK-TEST_C1-CORE_SW-01</v>
      </c>
      <c r="C12" s="21" t="s">
        <v>73</v>
      </c>
      <c r="D12" s="21" t="s">
        <v>102</v>
      </c>
      <c r="E12" s="21" t="str">
        <f>tbl_devices!A9</f>
        <v>HH1-RACK-T19-TEST_C1-ACC_SW-01</v>
      </c>
      <c r="F12" s="21" t="s">
        <v>54</v>
      </c>
      <c r="G12" s="21" t="s">
        <v>103</v>
      </c>
      <c r="H12" s="21" t="str">
        <f t="shared" si="0"/>
        <v>DOWNLINK | HH1-RACK-T19-TEST_C1-ACC_SW-01 | Et0/0</v>
      </c>
    </row>
    <row r="13" spans="1:8">
      <c r="A13" s="21" t="s">
        <v>102</v>
      </c>
      <c r="B13" s="21" t="str">
        <f>tbl_devices!A2</f>
        <v>CCTV-MRACK-TEST_C1-CORE_SW-01</v>
      </c>
      <c r="C13" s="21" t="s">
        <v>74</v>
      </c>
      <c r="D13" s="21" t="s">
        <v>102</v>
      </c>
      <c r="E13" s="21" t="str">
        <f>tbl_devices!A9</f>
        <v>HH1-RACK-T19-TEST_C1-ACC_SW-01</v>
      </c>
      <c r="F13" s="21" t="s">
        <v>58</v>
      </c>
      <c r="G13" s="21" t="s">
        <v>103</v>
      </c>
      <c r="H13" s="21" t="str">
        <f t="shared" si="0"/>
        <v>DOWNLINK | HH1-RACK-T19-TEST_C1-ACC_SW-01 | Et0/1</v>
      </c>
    </row>
    <row r="14" spans="1:8">
      <c r="A14" s="21" t="s">
        <v>102</v>
      </c>
      <c r="B14" s="21" t="str">
        <f>tbl_devices!A2</f>
        <v>CCTV-MRACK-TEST_C1-CORE_SW-01</v>
      </c>
      <c r="C14" s="21" t="s">
        <v>75</v>
      </c>
      <c r="D14" s="21" t="s">
        <v>102</v>
      </c>
      <c r="E14" s="21" t="str">
        <f>tbl_devices!A9</f>
        <v>HH1-RACK-T19-TEST_C1-ACC_SW-01</v>
      </c>
      <c r="F14" s="21" t="s">
        <v>54</v>
      </c>
      <c r="G14" s="21" t="s">
        <v>103</v>
      </c>
      <c r="H14" s="21" t="str">
        <f t="shared" si="0"/>
        <v>DOWNLINK | HH1-RACK-T19-TEST_C1-ACC_SW-01 | Et0/0</v>
      </c>
    </row>
    <row r="15" spans="1:8">
      <c r="A15" s="21" t="s">
        <v>102</v>
      </c>
      <c r="B15" s="21" t="str">
        <f>tbl_devices!A2</f>
        <v>CCTV-MRACK-TEST_C1-CORE_SW-01</v>
      </c>
      <c r="C15" s="21" t="s">
        <v>76</v>
      </c>
      <c r="D15" s="21" t="s">
        <v>102</v>
      </c>
      <c r="E15" s="21" t="str">
        <f>tbl_devices!A9</f>
        <v>HH1-RACK-T19-TEST_C1-ACC_SW-01</v>
      </c>
      <c r="F15" s="21" t="s">
        <v>58</v>
      </c>
      <c r="G15" s="21" t="s">
        <v>103</v>
      </c>
      <c r="H15" s="21" t="str">
        <f t="shared" si="0"/>
        <v>DOWNLINK | HH1-RACK-T19-TEST_C1-ACC_SW-01 | Et0/1</v>
      </c>
    </row>
    <row r="16" spans="1:8">
      <c r="A16" s="21" t="s">
        <v>102</v>
      </c>
      <c r="B16" s="21" t="str">
        <f>tbl_devices!A4</f>
        <v>RACK-CA-H-1-TEST_C1-ACC_SW-01</v>
      </c>
      <c r="C16" s="21" t="s">
        <v>60</v>
      </c>
      <c r="D16" s="21" t="s">
        <v>102</v>
      </c>
      <c r="E16" s="21" t="str">
        <f>tbl_devices!A11</f>
        <v>HH1-RACK-T15-TEST_C1-ACC_SW-01</v>
      </c>
      <c r="F16" s="21" t="s">
        <v>54</v>
      </c>
      <c r="G16" s="21" t="s">
        <v>103</v>
      </c>
      <c r="H16" s="21" t="str">
        <f t="shared" si="0"/>
        <v>DOWNLINK | HH1-RACK-T15-TEST_C1-ACC_SW-01 | Et0/0</v>
      </c>
    </row>
    <row r="17" spans="1:8">
      <c r="A17" s="21" t="s">
        <v>102</v>
      </c>
      <c r="B17" s="21" t="str">
        <f>tbl_devices!A4</f>
        <v>RACK-CA-H-1-TEST_C1-ACC_SW-01</v>
      </c>
      <c r="C17" s="21" t="s">
        <v>64</v>
      </c>
      <c r="D17" s="21" t="s">
        <v>102</v>
      </c>
      <c r="E17" s="21" t="str">
        <f>tbl_devices!A11</f>
        <v>HH1-RACK-T15-TEST_C1-ACC_SW-01</v>
      </c>
      <c r="F17" s="21" t="s">
        <v>58</v>
      </c>
      <c r="G17" s="21" t="s">
        <v>103</v>
      </c>
      <c r="H17" s="21" t="str">
        <f t="shared" si="0"/>
        <v>DOWNLINK | HH1-RACK-T15-TEST_C1-ACC_SW-01 | Et0/1</v>
      </c>
    </row>
    <row r="18" spans="1:8">
      <c r="A18" s="21" t="s">
        <v>102</v>
      </c>
      <c r="B18" s="21" t="str">
        <f>tbl_devices!A2</f>
        <v>CCTV-MRACK-TEST_C1-CORE_SW-01</v>
      </c>
      <c r="C18" s="21" t="s">
        <v>69</v>
      </c>
      <c r="D18" s="21" t="s">
        <v>102</v>
      </c>
      <c r="E18" s="21" t="str">
        <f>tbl_devices!A10</f>
        <v>CCTV-MRACK-TEST_C1-ACC_SW-02</v>
      </c>
      <c r="F18" s="21" t="s">
        <v>54</v>
      </c>
      <c r="G18" s="21" t="s">
        <v>103</v>
      </c>
      <c r="H18" s="21" t="str">
        <f t="shared" si="0"/>
        <v>DOWNLINK | CCTV-MRACK-TEST_C1-ACC_SW-02 | Et0/0</v>
      </c>
    </row>
    <row r="19" spans="1:8">
      <c r="A19" s="21" t="s">
        <v>102</v>
      </c>
      <c r="B19" s="21" t="str">
        <f>tbl_devices!A2</f>
        <v>CCTV-MRACK-TEST_C1-CORE_SW-01</v>
      </c>
      <c r="C19" s="21" t="s">
        <v>70</v>
      </c>
      <c r="D19" s="21" t="s">
        <v>102</v>
      </c>
      <c r="E19" s="22" t="str">
        <f>tbl_devices!A10</f>
        <v>CCTV-MRACK-TEST_C1-ACC_SW-02</v>
      </c>
      <c r="F19" s="21" t="s">
        <v>58</v>
      </c>
      <c r="G19" s="21" t="s">
        <v>103</v>
      </c>
      <c r="H19" s="21" t="str">
        <f t="shared" si="0"/>
        <v>DOWNLINK | CCTV-MRACK-TEST_C1-ACC_SW-02 | Et0/1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752D0A-7E15-483A-9A2F-D44644AF4E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tbl_sites</vt:lpstr>
      <vt:lpstr>tbl_locations</vt:lpstr>
      <vt:lpstr>tbl_racks</vt:lpstr>
      <vt:lpstr>tbl_vlan</vt:lpstr>
      <vt:lpstr>tbl_prefixes</vt:lpstr>
      <vt:lpstr>tbl_device-roles</vt:lpstr>
      <vt:lpstr>tbl_manufacturers</vt:lpstr>
      <vt:lpstr>tbl_device-types</vt:lpstr>
      <vt:lpstr>tbl_devices</vt:lpstr>
      <vt:lpstr>tbl_interfaces</vt:lpstr>
      <vt:lpstr>tbl_IP-addresses</vt:lpstr>
      <vt:lpstr>tbl_netbox-cables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Vinh</cp:lastModifiedBy>
  <dcterms:created xsi:type="dcterms:W3CDTF">2026-06-04T07:14:00Z</dcterms:created>
  <dcterms:modified xsi:type="dcterms:W3CDTF">2026-06-05T09:26:43Z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036A2B6ADCBB44CCB36E7B783B73988D_12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